
<file path=[Content_Types].xml><?xml version="1.0" encoding="utf-8"?>
<Types xmlns="http://schemas.openxmlformats.org/package/2006/content-type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codeName="ThisWorkbook"/>
  <mc:AlternateContent xmlns:mc="http://schemas.openxmlformats.org/markup-compatibility/2006">
    <mc:Choice Requires="x15">
      <x15ac:absPath xmlns:x15ac="http://schemas.microsoft.com/office/spreadsheetml/2010/11/ac" url="C:\Users\jorda\OneDrive\Documents\"/>
    </mc:Choice>
  </mc:AlternateContent>
  <xr:revisionPtr revIDLastSave="0" documentId="8_{4E3BF1C8-CBB3-434B-A553-5826EC6F7C48}" xr6:coauthVersionLast="47" xr6:coauthVersionMax="47" xr10:uidLastSave="{00000000-0000-0000-0000-000000000000}"/>
  <bookViews>
    <workbookView xWindow="2355" yWindow="15" windowWidth="21600" windowHeight="11295" activeTab="2" xr2:uid="{B5F1D598-C436-4AA6-9E1B-3BF1B02883F3}"/>
  </bookViews>
  <sheets>
    <sheet name="Black-Scholes Model" sheetId="1" r:id="rId1"/>
    <sheet name="Binomial Pricing Model" sheetId="3" r:id="rId2"/>
    <sheet name="Monte Carlo Simulation" sheetId="2" r:id="rId3"/>
  </sheets>
  <definedNames>
    <definedName name="∂">'Black-Scholes Model'!$E$9</definedName>
    <definedName name="d1_">'Black-Scholes Model'!$I$8</definedName>
    <definedName name="d2_">'Black-Scholes Model'!$I$9</definedName>
    <definedName name="K">'Black-Scholes Model'!$E$6</definedName>
    <definedName name="r_">'Black-Scholes Model'!$E$8</definedName>
    <definedName name="S">'Black-Scholes Model'!$E$5</definedName>
    <definedName name="T">'Black-Scholes Model'!$E$7</definedName>
    <definedName name="σ">'Black-Scholes Model'!$E$9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3" l="1"/>
  <c r="C13" i="3"/>
  <c r="C10" i="3" a="1"/>
  <c r="C10" i="3" s="1"/>
  <c r="C5" i="3" a="1"/>
  <c r="C5" i="3" s="1"/>
  <c r="F8" i="3" s="1"/>
  <c r="C15" i="3" l="1"/>
  <c r="G7" i="3"/>
  <c r="H6" i="3" s="1"/>
  <c r="G9" i="3"/>
  <c r="H10" i="3" l="1"/>
  <c r="H8" i="3"/>
  <c r="I5" i="3"/>
  <c r="I15" i="3" s="1"/>
  <c r="I7" i="3"/>
  <c r="I17" i="3" s="1"/>
  <c r="H18" i="3" s="1"/>
  <c r="G19" i="3" s="1"/>
  <c r="H16" i="3" l="1"/>
  <c r="G17" i="3" s="1"/>
  <c r="F18" i="3" s="1"/>
  <c r="I9" i="3"/>
  <c r="I11" i="3"/>
  <c r="E5" i="1" a="1"/>
  <c r="E5" i="1" s="1"/>
  <c r="I8" i="1" s="1"/>
  <c r="I9" i="1" s="1"/>
  <c r="E12" i="2"/>
  <c r="E13" i="2" s="1"/>
  <c r="E14" i="2" s="1"/>
  <c r="E15" i="2" s="1"/>
  <c r="E16" i="2" s="1"/>
  <c r="E17" i="2" s="1"/>
  <c r="E18" i="2" s="1"/>
  <c r="E19" i="2" s="1"/>
  <c r="E20" i="2" s="1"/>
  <c r="E21" i="2" s="1"/>
  <c r="E22" i="2" s="1"/>
  <c r="E23" i="2" s="1"/>
  <c r="E24" i="2" s="1"/>
  <c r="E25" i="2" s="1"/>
  <c r="E26" i="2" s="1"/>
  <c r="E27" i="2" s="1"/>
  <c r="E28" i="2" s="1"/>
  <c r="E29" i="2" s="1"/>
  <c r="E30" i="2" s="1"/>
  <c r="E31" i="2" s="1"/>
  <c r="E32" i="2" s="1"/>
  <c r="E33" i="2" s="1"/>
  <c r="E34" i="2" s="1"/>
  <c r="E35" i="2" s="1"/>
  <c r="E36" i="2" s="1"/>
  <c r="E37" i="2" s="1"/>
  <c r="E38" i="2" s="1"/>
  <c r="D10" i="2"/>
  <c r="D12" i="2" s="1"/>
  <c r="E39" i="2" l="1"/>
  <c r="I6" i="1"/>
  <c r="E40" i="2" l="1"/>
  <c r="E41" i="2" s="1"/>
  <c r="E42" i="2" s="1"/>
  <c r="E43" i="2" s="1"/>
  <c r="E44" i="2" s="1"/>
  <c r="E45" i="2" s="1"/>
  <c r="I5" i="1"/>
  <c r="E46" i="2" l="1"/>
  <c r="E47" i="2" s="1"/>
  <c r="E48" i="2" s="1"/>
  <c r="E49" i="2" s="1"/>
  <c r="E50" i="2" s="1"/>
  <c r="E51" i="2" s="1"/>
  <c r="E52" i="2" s="1"/>
  <c r="E53" i="2" s="1"/>
  <c r="E54" i="2" s="1"/>
  <c r="E55" i="2" s="1"/>
  <c r="E56" i="2" s="1"/>
  <c r="E57" i="2" s="1"/>
  <c r="E58" i="2" s="1"/>
  <c r="E59" i="2" s="1"/>
  <c r="E60" i="2" s="1"/>
  <c r="E61" i="2" s="1"/>
  <c r="E62" i="2" s="1"/>
  <c r="E63" i="2" s="1"/>
  <c r="E64" i="2" s="1"/>
  <c r="E65" i="2" s="1"/>
  <c r="E66" i="2" s="1"/>
  <c r="E67" i="2" s="1"/>
  <c r="E68" i="2" s="1"/>
  <c r="E69" i="2" s="1"/>
  <c r="E70" i="2" s="1"/>
  <c r="E71" i="2" s="1"/>
  <c r="E72" i="2" s="1"/>
  <c r="E73" i="2" s="1"/>
  <c r="E74" i="2" s="1"/>
  <c r="E75" i="2" s="1"/>
  <c r="E76" i="2" s="1"/>
  <c r="E77" i="2" s="1"/>
  <c r="E78" i="2" s="1"/>
  <c r="E79" i="2" s="1"/>
  <c r="E80" i="2" s="1"/>
  <c r="E81" i="2" s="1"/>
  <c r="E82" i="2" s="1"/>
  <c r="E83" i="2" s="1"/>
  <c r="E84" i="2" s="1"/>
  <c r="E85" i="2" s="1"/>
  <c r="E86" i="2" s="1"/>
  <c r="E87" i="2" s="1"/>
  <c r="E88" i="2" s="1"/>
  <c r="E89" i="2" s="1"/>
  <c r="E90" i="2" s="1"/>
  <c r="E91" i="2" s="1"/>
  <c r="E92" i="2" s="1"/>
  <c r="E93" i="2" s="1"/>
  <c r="E94" i="2" s="1"/>
  <c r="E95" i="2" s="1"/>
  <c r="E96" i="2" s="1"/>
  <c r="E97" i="2" s="1"/>
  <c r="E98" i="2" s="1"/>
  <c r="E99" i="2" s="1"/>
  <c r="E100" i="2" s="1"/>
  <c r="E101" i="2" s="1"/>
  <c r="E102" i="2" s="1"/>
  <c r="E103" i="2" s="1"/>
  <c r="E104" i="2" s="1"/>
  <c r="E105" i="2" s="1"/>
  <c r="E106" i="2" s="1"/>
  <c r="E107" i="2" s="1"/>
  <c r="E108" i="2" s="1"/>
  <c r="E109" i="2" s="1"/>
  <c r="E110" i="2" s="1"/>
  <c r="E111" i="2" s="1"/>
  <c r="E112" i="2" s="1"/>
  <c r="E113" i="2" s="1"/>
  <c r="E114" i="2" s="1"/>
  <c r="E115" i="2" s="1"/>
  <c r="E116" i="2" s="1"/>
  <c r="E117" i="2" s="1"/>
  <c r="E118" i="2" s="1"/>
  <c r="E119" i="2" s="1"/>
  <c r="E120" i="2" s="1"/>
  <c r="E121" i="2" s="1"/>
  <c r="E122" i="2" s="1"/>
  <c r="E123" i="2" s="1"/>
  <c r="E124" i="2" s="1"/>
  <c r="E125" i="2" s="1"/>
  <c r="E126" i="2" s="1"/>
  <c r="E127" i="2" s="1"/>
  <c r="E128" i="2" s="1"/>
  <c r="E129" i="2" s="1"/>
  <c r="E130" i="2" s="1"/>
  <c r="E131" i="2" s="1"/>
  <c r="E132" i="2" s="1"/>
  <c r="E133" i="2" s="1"/>
  <c r="E134" i="2" s="1"/>
  <c r="E135" i="2" s="1"/>
  <c r="E136" i="2" s="1"/>
  <c r="E137" i="2" s="1"/>
  <c r="E138" i="2" s="1"/>
  <c r="E139" i="2" s="1"/>
  <c r="E140" i="2" s="1"/>
  <c r="E141" i="2" s="1"/>
  <c r="E142" i="2" s="1"/>
  <c r="E143" i="2" s="1"/>
  <c r="E144" i="2" s="1"/>
  <c r="E145" i="2" s="1"/>
  <c r="E146" i="2" s="1"/>
  <c r="E147" i="2" s="1"/>
  <c r="E148" i="2" s="1"/>
  <c r="E149" i="2" s="1"/>
  <c r="E150" i="2" s="1"/>
  <c r="E151" i="2" s="1"/>
  <c r="E152" i="2" s="1"/>
  <c r="E153" i="2" s="1"/>
  <c r="E154" i="2" s="1"/>
  <c r="E155" i="2" s="1"/>
  <c r="E156" i="2" s="1"/>
  <c r="E157" i="2" s="1"/>
  <c r="E158" i="2" s="1"/>
  <c r="E159" i="2" s="1"/>
  <c r="E160" i="2" s="1"/>
  <c r="E161" i="2" s="1"/>
  <c r="E162" i="2" s="1"/>
  <c r="E163" i="2" s="1"/>
  <c r="E164" i="2" s="1"/>
  <c r="E165" i="2" s="1"/>
  <c r="E166" i="2" s="1"/>
  <c r="E167" i="2" s="1"/>
  <c r="E168" i="2" s="1"/>
  <c r="E169" i="2" s="1"/>
  <c r="E170" i="2" s="1"/>
  <c r="E171" i="2" s="1"/>
  <c r="E172" i="2" s="1"/>
  <c r="E173" i="2" s="1"/>
  <c r="E174" i="2" s="1"/>
  <c r="E175" i="2" s="1"/>
  <c r="E176" i="2" s="1"/>
  <c r="E177" i="2" s="1"/>
  <c r="E178" i="2" s="1"/>
  <c r="E179" i="2" s="1"/>
  <c r="E180" i="2" s="1"/>
  <c r="E181" i="2" s="1"/>
  <c r="E182" i="2" s="1"/>
  <c r="E183" i="2" s="1"/>
  <c r="E184" i="2" s="1"/>
  <c r="E185" i="2" s="1"/>
  <c r="E186" i="2" s="1"/>
  <c r="E187" i="2" s="1"/>
  <c r="E188" i="2" s="1"/>
  <c r="E189" i="2" s="1"/>
  <c r="E190" i="2" s="1"/>
  <c r="E191" i="2" s="1"/>
  <c r="E192" i="2" s="1"/>
  <c r="E193" i="2" s="1"/>
  <c r="E194" i="2" s="1"/>
  <c r="E195" i="2" s="1"/>
  <c r="E196" i="2" s="1"/>
  <c r="E197" i="2" s="1"/>
  <c r="E198" i="2" s="1"/>
  <c r="E199" i="2" s="1"/>
  <c r="E200" i="2" s="1"/>
  <c r="E201" i="2" s="1"/>
  <c r="E202" i="2" s="1"/>
  <c r="E203" i="2" s="1"/>
  <c r="E204" i="2" s="1"/>
  <c r="E205" i="2" s="1"/>
  <c r="E206" i="2" s="1"/>
  <c r="E207" i="2" s="1"/>
  <c r="E208" i="2" s="1"/>
  <c r="E209" i="2" s="1"/>
  <c r="E210" i="2" s="1"/>
  <c r="E211" i="2" s="1"/>
  <c r="E212" i="2" s="1"/>
  <c r="E213" i="2" s="1"/>
  <c r="E214" i="2" s="1"/>
  <c r="E215" i="2" s="1"/>
  <c r="E216" i="2" s="1"/>
  <c r="E217" i="2" s="1"/>
  <c r="E218" i="2" s="1"/>
  <c r="E219" i="2" s="1"/>
  <c r="E220" i="2" s="1"/>
  <c r="E221" i="2" s="1"/>
  <c r="E222" i="2" s="1"/>
  <c r="E223" i="2" s="1"/>
  <c r="E224" i="2" s="1"/>
  <c r="E225" i="2" s="1"/>
  <c r="E226" i="2" s="1"/>
  <c r="E227" i="2" s="1"/>
  <c r="E228" i="2" s="1"/>
  <c r="E229" i="2" s="1"/>
  <c r="E230" i="2" s="1"/>
  <c r="E231" i="2" s="1"/>
  <c r="E232" i="2" s="1"/>
  <c r="E233" i="2" s="1"/>
  <c r="E234" i="2" s="1"/>
  <c r="E235" i="2" s="1"/>
  <c r="E236" i="2" s="1"/>
  <c r="E237" i="2" s="1"/>
  <c r="E238" i="2" s="1"/>
  <c r="E239" i="2" s="1"/>
  <c r="E240" i="2" s="1"/>
  <c r="E241" i="2" s="1"/>
  <c r="E242" i="2" s="1"/>
  <c r="E243" i="2" s="1"/>
  <c r="E244" i="2" s="1"/>
  <c r="E245" i="2" s="1"/>
  <c r="E246" i="2" s="1"/>
  <c r="E247" i="2" s="1"/>
  <c r="E248" i="2" s="1"/>
  <c r="E249" i="2" s="1"/>
  <c r="E250" i="2" s="1"/>
  <c r="E251" i="2" s="1"/>
  <c r="E252" i="2" s="1"/>
  <c r="E253" i="2" s="1"/>
  <c r="E254" i="2" s="1"/>
  <c r="E255" i="2" s="1"/>
  <c r="E256" i="2" s="1"/>
  <c r="E257" i="2" s="1"/>
  <c r="E258" i="2" s="1"/>
  <c r="E259" i="2" s="1"/>
  <c r="E260" i="2" s="1"/>
  <c r="E261" i="2" s="1"/>
  <c r="E262" i="2" s="1"/>
  <c r="E263" i="2" s="1"/>
  <c r="E264" i="2" s="1"/>
  <c r="E265" i="2" s="1"/>
  <c r="E266" i="2" s="1"/>
  <c r="E267" i="2" s="1"/>
  <c r="E268" i="2" s="1"/>
  <c r="E269" i="2" s="1"/>
  <c r="E270" i="2" s="1"/>
  <c r="E271" i="2" s="1"/>
  <c r="E272" i="2" s="1"/>
  <c r="E273" i="2" s="1"/>
  <c r="E274" i="2" s="1"/>
  <c r="E275" i="2" s="1"/>
  <c r="E276" i="2" s="1"/>
  <c r="E277" i="2" s="1"/>
  <c r="E278" i="2" s="1"/>
  <c r="E279" i="2" s="1"/>
  <c r="E280" i="2" s="1"/>
  <c r="E281" i="2" s="1"/>
  <c r="E282" i="2" s="1"/>
  <c r="E283" i="2" s="1"/>
  <c r="E284" i="2" s="1"/>
  <c r="E285" i="2" s="1"/>
  <c r="E286" i="2" s="1"/>
  <c r="E287" i="2" s="1"/>
  <c r="E288" i="2" s="1"/>
  <c r="E289" i="2" s="1"/>
  <c r="E290" i="2" s="1"/>
  <c r="E291" i="2" s="1"/>
  <c r="E292" i="2" s="1"/>
  <c r="E293" i="2" s="1"/>
  <c r="E294" i="2" s="1"/>
  <c r="E295" i="2" s="1"/>
  <c r="E296" i="2" s="1"/>
  <c r="E297" i="2" s="1"/>
  <c r="E298" i="2" s="1"/>
  <c r="E299" i="2" s="1"/>
  <c r="E300" i="2" s="1"/>
  <c r="E301" i="2" s="1"/>
  <c r="E302" i="2" s="1"/>
  <c r="E303" i="2" s="1"/>
  <c r="E304" i="2" s="1"/>
  <c r="E305" i="2" s="1"/>
  <c r="E306" i="2" s="1"/>
  <c r="E307" i="2" s="1"/>
  <c r="E308" i="2" s="1"/>
  <c r="E309" i="2" s="1"/>
  <c r="E310" i="2" s="1"/>
  <c r="E311" i="2" s="1"/>
  <c r="E312" i="2" s="1"/>
  <c r="E313" i="2" s="1"/>
  <c r="E314" i="2" s="1"/>
  <c r="E315" i="2" s="1"/>
  <c r="E316" i="2" s="1"/>
  <c r="E317" i="2" s="1"/>
  <c r="E318" i="2" s="1"/>
  <c r="E319" i="2" s="1"/>
  <c r="E320" i="2" s="1"/>
  <c r="E321" i="2" s="1"/>
  <c r="E322" i="2" s="1"/>
  <c r="E323" i="2" s="1"/>
  <c r="E324" i="2" s="1"/>
  <c r="E325" i="2" s="1"/>
  <c r="E326" i="2" s="1"/>
  <c r="E327" i="2" s="1"/>
  <c r="E328" i="2" s="1"/>
  <c r="E329" i="2" s="1"/>
  <c r="E330" i="2" s="1"/>
  <c r="E331" i="2" s="1"/>
  <c r="E332" i="2" s="1"/>
  <c r="E333" i="2" s="1"/>
  <c r="E334" i="2" s="1"/>
  <c r="E335" i="2" s="1"/>
  <c r="E336" i="2" s="1"/>
  <c r="E337" i="2" s="1"/>
  <c r="E338" i="2" s="1"/>
  <c r="E339" i="2" s="1"/>
  <c r="E340" i="2" s="1"/>
  <c r="E341" i="2" s="1"/>
  <c r="E342" i="2" s="1"/>
  <c r="E343" i="2" s="1"/>
  <c r="E344" i="2" s="1"/>
  <c r="E345" i="2" s="1"/>
  <c r="E346" i="2" s="1"/>
  <c r="E347" i="2" s="1"/>
  <c r="E348" i="2" s="1"/>
  <c r="E349" i="2" s="1"/>
  <c r="E350" i="2" s="1"/>
  <c r="E351" i="2" s="1"/>
  <c r="E352" i="2" s="1"/>
  <c r="E353" i="2" s="1"/>
  <c r="E354" i="2" s="1"/>
  <c r="E355" i="2" s="1"/>
  <c r="E356" i="2" s="1"/>
  <c r="E357" i="2" s="1"/>
  <c r="E358" i="2" s="1"/>
  <c r="E359" i="2" s="1"/>
  <c r="E360" i="2" s="1"/>
  <c r="E361" i="2" s="1"/>
  <c r="E362" i="2" s="1"/>
  <c r="E363" i="2" s="1"/>
  <c r="E364" i="2" s="1"/>
  <c r="E365" i="2" s="1"/>
  <c r="E366" i="2" s="1"/>
  <c r="E367" i="2" s="1"/>
  <c r="E368" i="2" s="1"/>
  <c r="E369" i="2" s="1"/>
  <c r="E370" i="2" s="1"/>
  <c r="E371" i="2" s="1"/>
  <c r="E372" i="2" s="1"/>
  <c r="E373" i="2" s="1"/>
  <c r="E374" i="2" s="1"/>
  <c r="E375" i="2" s="1"/>
  <c r="E376" i="2" s="1"/>
  <c r="E377" i="2" s="1"/>
  <c r="E378" i="2" s="1"/>
  <c r="E379" i="2" s="1"/>
  <c r="E380" i="2" s="1"/>
  <c r="E381" i="2" s="1"/>
  <c r="E382" i="2" s="1"/>
  <c r="E383" i="2" s="1"/>
  <c r="E384" i="2" s="1"/>
  <c r="E385" i="2" s="1"/>
  <c r="E386" i="2" s="1"/>
  <c r="E387" i="2" s="1"/>
  <c r="E388" i="2" s="1"/>
  <c r="E389" i="2" s="1"/>
  <c r="E390" i="2" s="1"/>
  <c r="E391" i="2" s="1"/>
  <c r="E392" i="2" s="1"/>
  <c r="E393" i="2" s="1"/>
  <c r="E394" i="2" s="1"/>
  <c r="E395" i="2" s="1"/>
  <c r="E396" i="2" s="1"/>
  <c r="E397" i="2" s="1"/>
  <c r="E398" i="2" s="1"/>
  <c r="E399" i="2" s="1"/>
  <c r="E400" i="2" s="1"/>
  <c r="E401" i="2" s="1"/>
  <c r="E402" i="2" s="1"/>
  <c r="E403" i="2" s="1"/>
  <c r="E404" i="2" s="1"/>
  <c r="E405" i="2" s="1"/>
  <c r="E406" i="2" s="1"/>
  <c r="E407" i="2" s="1"/>
  <c r="E408" i="2" s="1"/>
  <c r="E409" i="2" s="1"/>
  <c r="E410" i="2" s="1"/>
  <c r="E411" i="2" s="1"/>
  <c r="E412" i="2" s="1"/>
  <c r="E413" i="2" s="1"/>
  <c r="E414" i="2" s="1"/>
  <c r="E415" i="2" s="1"/>
  <c r="E416" i="2" s="1"/>
  <c r="E417" i="2" s="1"/>
  <c r="E418" i="2" s="1"/>
  <c r="E419" i="2" s="1"/>
  <c r="E420" i="2" s="1"/>
  <c r="E421" i="2" s="1"/>
  <c r="E422" i="2" s="1"/>
  <c r="E423" i="2" s="1"/>
  <c r="E424" i="2" s="1"/>
  <c r="E425" i="2" s="1"/>
  <c r="E426" i="2" s="1"/>
  <c r="E427" i="2" s="1"/>
  <c r="E428" i="2" s="1"/>
  <c r="E429" i="2" s="1"/>
  <c r="E430" i="2" s="1"/>
  <c r="E431" i="2" s="1"/>
  <c r="E432" i="2" s="1"/>
  <c r="E433" i="2" s="1"/>
  <c r="E434" i="2" s="1"/>
  <c r="E435" i="2" s="1"/>
  <c r="E436" i="2" s="1"/>
  <c r="E437" i="2" s="1"/>
  <c r="E438" i="2" s="1"/>
  <c r="E439" i="2" s="1"/>
  <c r="E440" i="2" s="1"/>
  <c r="E441" i="2" s="1"/>
  <c r="E442" i="2" s="1"/>
  <c r="E443" i="2" s="1"/>
  <c r="E444" i="2" s="1"/>
  <c r="E445" i="2" s="1"/>
  <c r="E446" i="2" s="1"/>
  <c r="E447" i="2" s="1"/>
  <c r="E448" i="2" s="1"/>
  <c r="E449" i="2" s="1"/>
  <c r="E450" i="2" s="1"/>
  <c r="E451" i="2" s="1"/>
  <c r="E452" i="2" s="1"/>
  <c r="E453" i="2" s="1"/>
  <c r="E454" i="2" s="1"/>
  <c r="E455" i="2" s="1"/>
  <c r="E456" i="2" s="1"/>
  <c r="E457" i="2" s="1"/>
  <c r="E458" i="2" s="1"/>
  <c r="E459" i="2" s="1"/>
  <c r="E460" i="2" s="1"/>
  <c r="E461" i="2" s="1"/>
  <c r="E462" i="2" s="1"/>
  <c r="E463" i="2" s="1"/>
  <c r="E464" i="2" s="1"/>
  <c r="E465" i="2" s="1"/>
  <c r="E466" i="2" s="1"/>
  <c r="E467" i="2" s="1"/>
  <c r="E468" i="2" s="1"/>
  <c r="E469" i="2" s="1"/>
  <c r="E470" i="2" s="1"/>
  <c r="E471" i="2" s="1"/>
  <c r="E472" i="2" s="1"/>
  <c r="E473" i="2" s="1"/>
  <c r="E474" i="2" s="1"/>
  <c r="E475" i="2" s="1"/>
  <c r="E476" i="2" s="1"/>
  <c r="E477" i="2" s="1"/>
  <c r="E478" i="2" s="1"/>
  <c r="E479" i="2" s="1"/>
  <c r="E480" i="2" s="1"/>
  <c r="E481" i="2" s="1"/>
  <c r="E482" i="2" s="1"/>
  <c r="E483" i="2" s="1"/>
  <c r="E484" i="2" s="1"/>
  <c r="E485" i="2" s="1"/>
  <c r="E486" i="2" s="1"/>
  <c r="E487" i="2" s="1"/>
  <c r="E488" i="2" s="1"/>
  <c r="E489" i="2" s="1"/>
  <c r="E490" i="2" s="1"/>
  <c r="E491" i="2" s="1"/>
  <c r="E492" i="2" s="1"/>
  <c r="E493" i="2" s="1"/>
  <c r="E494" i="2" s="1"/>
  <c r="E495" i="2" s="1"/>
  <c r="E496" i="2" s="1"/>
  <c r="E497" i="2" s="1"/>
  <c r="E498" i="2" s="1"/>
  <c r="E499" i="2" s="1"/>
  <c r="E500" i="2" s="1"/>
  <c r="E501" i="2" s="1"/>
  <c r="E502" i="2" s="1"/>
  <c r="E503" i="2" s="1"/>
  <c r="E504" i="2" s="1"/>
  <c r="E505" i="2" s="1"/>
  <c r="E506" i="2" s="1"/>
  <c r="E507" i="2" s="1"/>
  <c r="E508" i="2" s="1"/>
  <c r="E509" i="2" s="1"/>
  <c r="E510" i="2" s="1"/>
  <c r="E511" i="2" s="1"/>
  <c r="E512" i="2" s="1"/>
  <c r="E513" i="2" s="1"/>
  <c r="E514" i="2" s="1"/>
  <c r="E515" i="2" s="1"/>
  <c r="E516" i="2" s="1"/>
  <c r="E517" i="2" s="1"/>
  <c r="E518" i="2" s="1"/>
  <c r="E519" i="2" s="1"/>
  <c r="E520" i="2" s="1"/>
  <c r="E521" i="2" s="1"/>
  <c r="E522" i="2" s="1"/>
  <c r="E523" i="2" s="1"/>
  <c r="E524" i="2" s="1"/>
  <c r="E525" i="2" s="1"/>
  <c r="E526" i="2" s="1"/>
  <c r="E527" i="2" s="1"/>
  <c r="E528" i="2" s="1"/>
  <c r="E529" i="2" s="1"/>
  <c r="E530" i="2" s="1"/>
  <c r="E531" i="2" s="1"/>
  <c r="E532" i="2" s="1"/>
  <c r="E533" i="2" s="1"/>
  <c r="E534" i="2" s="1"/>
  <c r="E535" i="2" s="1"/>
  <c r="E536" i="2" s="1"/>
  <c r="E537" i="2" s="1"/>
  <c r="E538" i="2" s="1"/>
  <c r="E539" i="2" s="1"/>
  <c r="E540" i="2" s="1"/>
  <c r="E541" i="2" s="1"/>
  <c r="E542" i="2" s="1"/>
  <c r="E543" i="2" s="1"/>
  <c r="E544" i="2" s="1"/>
  <c r="E545" i="2" s="1"/>
  <c r="E546" i="2" s="1"/>
  <c r="E547" i="2" s="1"/>
  <c r="E548" i="2" s="1"/>
  <c r="E549" i="2" s="1"/>
  <c r="E550" i="2" s="1"/>
  <c r="E551" i="2" s="1"/>
  <c r="E552" i="2" s="1"/>
  <c r="E553" i="2" s="1"/>
  <c r="E554" i="2" s="1"/>
  <c r="E555" i="2" s="1"/>
  <c r="E556" i="2" s="1"/>
  <c r="E557" i="2" s="1"/>
  <c r="E558" i="2" s="1"/>
  <c r="E559" i="2" s="1"/>
  <c r="E560" i="2" s="1"/>
  <c r="E561" i="2" s="1"/>
  <c r="E562" i="2" s="1"/>
  <c r="E563" i="2" s="1"/>
  <c r="E564" i="2" s="1"/>
  <c r="E565" i="2" s="1"/>
  <c r="E566" i="2" s="1"/>
  <c r="E567" i="2" s="1"/>
  <c r="E568" i="2" s="1"/>
  <c r="E569" i="2" s="1"/>
  <c r="E570" i="2" s="1"/>
  <c r="E571" i="2" s="1"/>
  <c r="E572" i="2" s="1"/>
  <c r="E573" i="2" s="1"/>
  <c r="E574" i="2" s="1"/>
  <c r="E575" i="2" s="1"/>
  <c r="E576" i="2" s="1"/>
  <c r="E577" i="2" s="1"/>
  <c r="E578" i="2" s="1"/>
  <c r="E579" i="2" s="1"/>
  <c r="E580" i="2" s="1"/>
  <c r="E581" i="2" s="1"/>
  <c r="E582" i="2" s="1"/>
  <c r="E583" i="2" s="1"/>
  <c r="E584" i="2" s="1"/>
  <c r="E585" i="2" s="1"/>
  <c r="E586" i="2" s="1"/>
  <c r="E587" i="2" s="1"/>
  <c r="E588" i="2" s="1"/>
  <c r="E589" i="2" s="1"/>
  <c r="E590" i="2" s="1"/>
  <c r="E591" i="2" s="1"/>
  <c r="E592" i="2" s="1"/>
  <c r="E593" i="2" s="1"/>
  <c r="E594" i="2" s="1"/>
  <c r="E595" i="2" s="1"/>
  <c r="E596" i="2" s="1"/>
  <c r="E597" i="2" s="1"/>
  <c r="E598" i="2" s="1"/>
  <c r="E599" i="2" s="1"/>
  <c r="E600" i="2" s="1"/>
  <c r="E601" i="2" s="1"/>
  <c r="E602" i="2" s="1"/>
  <c r="E603" i="2" s="1"/>
  <c r="E604" i="2" s="1"/>
  <c r="E605" i="2" s="1"/>
  <c r="E606" i="2" s="1"/>
  <c r="E607" i="2" s="1"/>
  <c r="E608" i="2" s="1"/>
  <c r="E609" i="2" s="1"/>
  <c r="E610" i="2" s="1"/>
  <c r="E611" i="2" s="1"/>
  <c r="E612" i="2" s="1"/>
  <c r="E613" i="2" s="1"/>
  <c r="E614" i="2" s="1"/>
  <c r="E615" i="2" s="1"/>
  <c r="E616" i="2" s="1"/>
  <c r="E617" i="2" s="1"/>
  <c r="E618" i="2" s="1"/>
  <c r="E619" i="2" s="1"/>
  <c r="E620" i="2" s="1"/>
  <c r="E621" i="2" s="1"/>
  <c r="E622" i="2" s="1"/>
  <c r="E623" i="2" s="1"/>
  <c r="E624" i="2" s="1"/>
  <c r="E625" i="2" s="1"/>
  <c r="E626" i="2" s="1"/>
  <c r="E627" i="2" s="1"/>
  <c r="E628" i="2" s="1"/>
  <c r="E629" i="2" s="1"/>
  <c r="E630" i="2" s="1"/>
  <c r="E631" i="2" s="1"/>
  <c r="E632" i="2" s="1"/>
  <c r="E633" i="2" s="1"/>
  <c r="E634" i="2" s="1"/>
  <c r="E635" i="2" s="1"/>
  <c r="E636" i="2" s="1"/>
  <c r="E637" i="2" s="1"/>
  <c r="E638" i="2" s="1"/>
  <c r="E639" i="2" s="1"/>
  <c r="E640" i="2" s="1"/>
  <c r="E641" i="2" s="1"/>
  <c r="E642" i="2" s="1"/>
  <c r="E643" i="2" s="1"/>
  <c r="E644" i="2" s="1"/>
  <c r="E645" i="2" s="1"/>
  <c r="E646" i="2" s="1"/>
  <c r="E647" i="2" s="1"/>
  <c r="E648" i="2" s="1"/>
  <c r="E649" i="2" s="1"/>
  <c r="E650" i="2" s="1"/>
  <c r="E651" i="2" s="1"/>
  <c r="E652" i="2" s="1"/>
  <c r="E653" i="2" s="1"/>
  <c r="E654" i="2" s="1"/>
  <c r="E655" i="2" s="1"/>
  <c r="E656" i="2" s="1"/>
  <c r="E657" i="2" s="1"/>
  <c r="E658" i="2" s="1"/>
  <c r="E659" i="2" s="1"/>
  <c r="E660" i="2" s="1"/>
  <c r="E661" i="2" s="1"/>
  <c r="E662" i="2" s="1"/>
  <c r="E663" i="2" s="1"/>
  <c r="E664" i="2" s="1"/>
  <c r="E665" i="2" s="1"/>
  <c r="E666" i="2" s="1"/>
  <c r="E667" i="2" s="1"/>
  <c r="E668" i="2" s="1"/>
  <c r="E669" i="2" s="1"/>
  <c r="E670" i="2" s="1"/>
  <c r="E671" i="2" s="1"/>
  <c r="E672" i="2" s="1"/>
  <c r="E673" i="2" s="1"/>
  <c r="E674" i="2" s="1"/>
  <c r="E675" i="2" s="1"/>
  <c r="E676" i="2" s="1"/>
  <c r="E677" i="2" s="1"/>
  <c r="E678" i="2" s="1"/>
  <c r="E679" i="2" s="1"/>
  <c r="E680" i="2" s="1"/>
  <c r="E681" i="2" s="1"/>
  <c r="E682" i="2" s="1"/>
  <c r="E683" i="2" s="1"/>
  <c r="E684" i="2" s="1"/>
  <c r="E685" i="2" s="1"/>
  <c r="E686" i="2" s="1"/>
  <c r="E687" i="2" s="1"/>
  <c r="E688" i="2" s="1"/>
  <c r="E689" i="2" s="1"/>
  <c r="E690" i="2" s="1"/>
  <c r="E691" i="2" s="1"/>
  <c r="E692" i="2" s="1"/>
  <c r="E693" i="2" s="1"/>
  <c r="E694" i="2" s="1"/>
  <c r="E695" i="2" s="1"/>
  <c r="E696" i="2" s="1"/>
  <c r="E697" i="2" s="1"/>
  <c r="E698" i="2" s="1"/>
  <c r="E699" i="2" s="1"/>
  <c r="E700" i="2" s="1"/>
  <c r="E701" i="2" s="1"/>
  <c r="E702" i="2" s="1"/>
  <c r="E703" i="2" s="1"/>
  <c r="E704" i="2" s="1"/>
  <c r="E705" i="2" s="1"/>
  <c r="E706" i="2" s="1"/>
  <c r="E707" i="2" s="1"/>
  <c r="E708" i="2" s="1"/>
  <c r="E709" i="2" s="1"/>
  <c r="E710" i="2" s="1"/>
  <c r="E711" i="2" s="1"/>
  <c r="E712" i="2" s="1"/>
  <c r="E713" i="2" s="1"/>
  <c r="E714" i="2" s="1"/>
  <c r="E715" i="2" s="1"/>
  <c r="E716" i="2" s="1"/>
  <c r="E717" i="2" s="1"/>
  <c r="E718" i="2" s="1"/>
  <c r="E719" i="2" s="1"/>
  <c r="E720" i="2" s="1"/>
  <c r="E721" i="2" s="1"/>
  <c r="E722" i="2" s="1"/>
  <c r="E723" i="2" s="1"/>
  <c r="E724" i="2" s="1"/>
  <c r="E725" i="2" s="1"/>
  <c r="E726" i="2" s="1"/>
  <c r="E727" i="2" s="1"/>
  <c r="E728" i="2" s="1"/>
  <c r="E729" i="2" s="1"/>
  <c r="E730" i="2" s="1"/>
  <c r="E731" i="2" s="1"/>
  <c r="E732" i="2" s="1"/>
  <c r="E733" i="2" s="1"/>
  <c r="E734" i="2" s="1"/>
  <c r="E735" i="2" s="1"/>
  <c r="E736" i="2" s="1"/>
  <c r="E737" i="2" s="1"/>
  <c r="E738" i="2" s="1"/>
  <c r="E739" i="2" s="1"/>
  <c r="E740" i="2" s="1"/>
  <c r="E741" i="2" s="1"/>
  <c r="E742" i="2" s="1"/>
  <c r="E743" i="2" s="1"/>
  <c r="E744" i="2" s="1"/>
  <c r="E745" i="2" s="1"/>
  <c r="E746" i="2" s="1"/>
  <c r="E747" i="2" s="1"/>
  <c r="E748" i="2" s="1"/>
  <c r="E749" i="2" s="1"/>
  <c r="E750" i="2" s="1"/>
  <c r="E751" i="2" s="1"/>
  <c r="E752" i="2" s="1"/>
  <c r="E753" i="2" s="1"/>
  <c r="E754" i="2" s="1"/>
  <c r="E755" i="2" s="1"/>
  <c r="E756" i="2" s="1"/>
  <c r="E757" i="2" s="1"/>
  <c r="E758" i="2" s="1"/>
  <c r="E759" i="2" s="1"/>
  <c r="E760" i="2" s="1"/>
  <c r="E761" i="2" s="1"/>
  <c r="E762" i="2" s="1"/>
  <c r="E763" i="2" s="1"/>
  <c r="E764" i="2" s="1"/>
  <c r="E765" i="2" s="1"/>
  <c r="E766" i="2" s="1"/>
  <c r="E767" i="2" s="1"/>
  <c r="E768" i="2" s="1"/>
  <c r="E769" i="2" s="1"/>
  <c r="E770" i="2" s="1"/>
  <c r="E771" i="2" s="1"/>
  <c r="E772" i="2" s="1"/>
  <c r="E773" i="2" s="1"/>
  <c r="E774" i="2" s="1"/>
  <c r="E775" i="2" s="1"/>
  <c r="E776" i="2" s="1"/>
  <c r="E777" i="2" s="1"/>
  <c r="E778" i="2" s="1"/>
  <c r="E779" i="2" s="1"/>
  <c r="E780" i="2" s="1"/>
  <c r="E781" i="2" s="1"/>
  <c r="E782" i="2" s="1"/>
  <c r="E783" i="2" s="1"/>
  <c r="E784" i="2" s="1"/>
  <c r="E785" i="2" s="1"/>
  <c r="E786" i="2" s="1"/>
  <c r="E787" i="2" s="1"/>
  <c r="E788" i="2" s="1"/>
  <c r="E789" i="2" s="1"/>
  <c r="E790" i="2" s="1"/>
  <c r="E791" i="2" s="1"/>
  <c r="E792" i="2" s="1"/>
  <c r="E793" i="2" s="1"/>
  <c r="E794" i="2" s="1"/>
  <c r="E795" i="2" s="1"/>
  <c r="E796" i="2" s="1"/>
  <c r="E797" i="2" s="1"/>
  <c r="E798" i="2" s="1"/>
  <c r="E799" i="2" s="1"/>
  <c r="E800" i="2" s="1"/>
  <c r="E801" i="2" s="1"/>
  <c r="E802" i="2" s="1"/>
  <c r="E803" i="2" s="1"/>
  <c r="E804" i="2" s="1"/>
  <c r="E805" i="2" s="1"/>
  <c r="E806" i="2" s="1"/>
  <c r="E807" i="2" s="1"/>
  <c r="E808" i="2" s="1"/>
  <c r="E809" i="2" s="1"/>
  <c r="E810" i="2" s="1"/>
  <c r="E811" i="2" s="1"/>
  <c r="E812" i="2" s="1"/>
  <c r="E813" i="2" s="1"/>
  <c r="E814" i="2" s="1"/>
  <c r="E815" i="2" s="1"/>
  <c r="E816" i="2" s="1"/>
  <c r="E817" i="2" s="1"/>
  <c r="E818" i="2" s="1"/>
  <c r="E819" i="2" s="1"/>
  <c r="E820" i="2" s="1"/>
  <c r="E821" i="2" s="1"/>
  <c r="E822" i="2" s="1"/>
  <c r="E823" i="2" s="1"/>
  <c r="E824" i="2" s="1"/>
  <c r="E825" i="2" s="1"/>
  <c r="E826" i="2" s="1"/>
  <c r="E827" i="2" s="1"/>
  <c r="E828" i="2" s="1"/>
  <c r="E829" i="2" s="1"/>
  <c r="E830" i="2" s="1"/>
  <c r="E831" i="2" s="1"/>
  <c r="E832" i="2" s="1"/>
  <c r="E833" i="2" s="1"/>
  <c r="E834" i="2" s="1"/>
  <c r="E835" i="2" s="1"/>
  <c r="E836" i="2" s="1"/>
  <c r="E837" i="2" s="1"/>
  <c r="E838" i="2" s="1"/>
  <c r="E839" i="2" s="1"/>
  <c r="E840" i="2" s="1"/>
  <c r="E841" i="2" s="1"/>
  <c r="E842" i="2" s="1"/>
  <c r="E843" i="2" s="1"/>
  <c r="E844" i="2" s="1"/>
  <c r="E845" i="2" s="1"/>
  <c r="E846" i="2" s="1"/>
  <c r="E847" i="2" s="1"/>
  <c r="E848" i="2" s="1"/>
  <c r="E849" i="2" s="1"/>
  <c r="E850" i="2" s="1"/>
  <c r="E851" i="2" s="1"/>
  <c r="E852" i="2" s="1"/>
  <c r="E853" i="2" s="1"/>
  <c r="E854" i="2" s="1"/>
  <c r="E855" i="2" s="1"/>
  <c r="E856" i="2" s="1"/>
  <c r="E857" i="2" s="1"/>
  <c r="E858" i="2" s="1"/>
  <c r="E859" i="2" s="1"/>
  <c r="E860" i="2" s="1"/>
  <c r="E861" i="2" s="1"/>
  <c r="E862" i="2" s="1"/>
  <c r="E863" i="2" s="1"/>
  <c r="E864" i="2" s="1"/>
  <c r="E865" i="2" s="1"/>
  <c r="E866" i="2" s="1"/>
  <c r="E867" i="2" s="1"/>
  <c r="E868" i="2" s="1"/>
  <c r="E869" i="2" s="1"/>
  <c r="E870" i="2" s="1"/>
  <c r="E871" i="2" s="1"/>
  <c r="E872" i="2" s="1"/>
  <c r="E873" i="2" s="1"/>
  <c r="E874" i="2" s="1"/>
  <c r="E875" i="2" s="1"/>
  <c r="E876" i="2" s="1"/>
  <c r="E877" i="2" s="1"/>
  <c r="E878" i="2" s="1"/>
  <c r="E879" i="2" s="1"/>
  <c r="E880" i="2" s="1"/>
  <c r="E881" i="2" s="1"/>
  <c r="E882" i="2" s="1"/>
  <c r="E883" i="2" s="1"/>
  <c r="E884" i="2" s="1"/>
  <c r="E885" i="2" s="1"/>
  <c r="E886" i="2" s="1"/>
  <c r="E887" i="2" s="1"/>
  <c r="E888" i="2" s="1"/>
  <c r="E889" i="2" s="1"/>
  <c r="E890" i="2" s="1"/>
  <c r="E891" i="2" s="1"/>
  <c r="E892" i="2" s="1"/>
  <c r="E893" i="2" s="1"/>
  <c r="E894" i="2" s="1"/>
  <c r="E895" i="2" s="1"/>
  <c r="E896" i="2" s="1"/>
  <c r="E897" i="2" s="1"/>
  <c r="E898" i="2" s="1"/>
  <c r="E899" i="2" s="1"/>
  <c r="E900" i="2" s="1"/>
  <c r="E901" i="2" s="1"/>
  <c r="E902" i="2" s="1"/>
  <c r="E903" i="2" s="1"/>
  <c r="E904" i="2" s="1"/>
  <c r="E905" i="2" s="1"/>
  <c r="E906" i="2" s="1"/>
  <c r="E907" i="2" s="1"/>
  <c r="E908" i="2" s="1"/>
  <c r="E909" i="2" s="1"/>
  <c r="E910" i="2" s="1"/>
  <c r="E911" i="2" s="1"/>
  <c r="E912" i="2" s="1"/>
  <c r="E913" i="2" s="1"/>
  <c r="E914" i="2" s="1"/>
  <c r="E915" i="2" s="1"/>
  <c r="E916" i="2" s="1"/>
  <c r="E917" i="2" s="1"/>
  <c r="E918" i="2" s="1"/>
  <c r="E919" i="2" s="1"/>
  <c r="E920" i="2" s="1"/>
  <c r="E921" i="2" s="1"/>
  <c r="E922" i="2" s="1"/>
  <c r="E923" i="2" s="1"/>
  <c r="E924" i="2" s="1"/>
  <c r="E925" i="2" s="1"/>
  <c r="E926" i="2" s="1"/>
  <c r="E927" i="2" s="1"/>
  <c r="E928" i="2" s="1"/>
  <c r="E929" i="2" s="1"/>
  <c r="E930" i="2" s="1"/>
  <c r="E931" i="2" s="1"/>
  <c r="E932" i="2" s="1"/>
  <c r="E933" i="2" s="1"/>
  <c r="E934" i="2" s="1"/>
  <c r="E935" i="2" s="1"/>
  <c r="E936" i="2" s="1"/>
  <c r="E937" i="2" s="1"/>
  <c r="E938" i="2" s="1"/>
  <c r="E939" i="2" s="1"/>
  <c r="E940" i="2" s="1"/>
  <c r="E941" i="2" s="1"/>
  <c r="E942" i="2" s="1"/>
  <c r="E943" i="2" s="1"/>
  <c r="E944" i="2" s="1"/>
  <c r="E945" i="2" s="1"/>
  <c r="E946" i="2" s="1"/>
  <c r="E947" i="2" s="1"/>
  <c r="E948" i="2" s="1"/>
  <c r="E949" i="2" s="1"/>
  <c r="E950" i="2" s="1"/>
  <c r="E951" i="2" s="1"/>
  <c r="E952" i="2" s="1"/>
  <c r="E953" i="2" s="1"/>
  <c r="E954" i="2" s="1"/>
  <c r="E955" i="2" s="1"/>
  <c r="E956" i="2" s="1"/>
  <c r="E957" i="2" s="1"/>
  <c r="E958" i="2" s="1"/>
  <c r="E959" i="2" s="1"/>
  <c r="E960" i="2" s="1"/>
  <c r="E961" i="2" s="1"/>
  <c r="E962" i="2" s="1"/>
  <c r="E963" i="2" s="1"/>
  <c r="E964" i="2" s="1"/>
  <c r="E965" i="2" s="1"/>
  <c r="E966" i="2" s="1"/>
  <c r="E967" i="2" s="1"/>
  <c r="E968" i="2" s="1"/>
  <c r="E969" i="2" s="1"/>
  <c r="E970" i="2" s="1"/>
  <c r="E971" i="2" s="1"/>
  <c r="E972" i="2" s="1"/>
  <c r="E973" i="2" s="1"/>
  <c r="E974" i="2" s="1"/>
  <c r="E975" i="2" s="1"/>
  <c r="E976" i="2" s="1"/>
  <c r="E977" i="2" s="1"/>
  <c r="E978" i="2" s="1"/>
  <c r="E979" i="2" s="1"/>
  <c r="E980" i="2" s="1"/>
  <c r="E981" i="2" s="1"/>
  <c r="E982" i="2" s="1"/>
  <c r="E983" i="2" s="1"/>
  <c r="E984" i="2" s="1"/>
  <c r="E985" i="2" s="1"/>
  <c r="E986" i="2" s="1"/>
  <c r="E987" i="2" s="1"/>
  <c r="E988" i="2" s="1"/>
  <c r="E989" i="2" s="1"/>
  <c r="E990" i="2" s="1"/>
  <c r="E991" i="2" s="1"/>
  <c r="E992" i="2" s="1"/>
  <c r="E993" i="2" s="1"/>
  <c r="E994" i="2" s="1"/>
  <c r="E995" i="2" s="1"/>
  <c r="E996" i="2" s="1"/>
  <c r="E997" i="2" s="1"/>
  <c r="E998" i="2" s="1"/>
  <c r="E999" i="2" s="1"/>
  <c r="E1000" i="2" s="1"/>
  <c r="E1001" i="2" s="1"/>
  <c r="E1002" i="2" s="1"/>
  <c r="E1003" i="2" s="1"/>
  <c r="E1004" i="2" s="1"/>
  <c r="E1005" i="2" s="1"/>
  <c r="E1006" i="2" s="1"/>
  <c r="E1007" i="2" s="1"/>
  <c r="E1008" i="2" s="1"/>
  <c r="E1009" i="2" s="1"/>
  <c r="E1010" i="2" s="1"/>
  <c r="F468" i="2"/>
  <c r="G468" i="2" s="1"/>
  <c r="H468" i="2" s="1"/>
  <c r="F199" i="2"/>
  <c r="G199" i="2" s="1"/>
  <c r="H199" i="2" s="1"/>
  <c r="F198" i="2"/>
  <c r="G198" i="2" s="1"/>
  <c r="H198" i="2" s="1"/>
  <c r="F102" i="2"/>
  <c r="G102" i="2" s="1"/>
  <c r="H102" i="2" s="1"/>
  <c r="F79" i="2"/>
  <c r="G79" i="2" s="1"/>
  <c r="H79" i="2" s="1"/>
  <c r="F45" i="2"/>
  <c r="G45" i="2" s="1"/>
  <c r="H45" i="2" s="1"/>
  <c r="F182" i="2"/>
  <c r="G182" i="2" s="1"/>
  <c r="H182" i="2" s="1"/>
  <c r="F723" i="2"/>
  <c r="G723" i="2" s="1"/>
  <c r="H723" i="2" s="1"/>
  <c r="F185" i="2"/>
  <c r="G185" i="2" s="1"/>
  <c r="H185" i="2" s="1"/>
  <c r="F114" i="2"/>
  <c r="G114" i="2" s="1"/>
  <c r="H114" i="2" s="1"/>
  <c r="F41" i="2"/>
  <c r="G41" i="2" s="1"/>
  <c r="H41" i="2" s="1"/>
  <c r="F172" i="2"/>
  <c r="G172" i="2" s="1"/>
  <c r="H172" i="2" s="1"/>
  <c r="F28" i="2"/>
  <c r="G28" i="2" s="1"/>
  <c r="H28" i="2" s="1"/>
  <c r="F534" i="2"/>
  <c r="G534" i="2" s="1"/>
  <c r="H534" i="2" s="1"/>
  <c r="F820" i="2" l="1"/>
  <c r="G820" i="2" s="1"/>
  <c r="H820" i="2" s="1"/>
  <c r="F17" i="2"/>
  <c r="G17" i="2" s="1"/>
  <c r="H17" i="2" s="1"/>
  <c r="F72" i="2"/>
  <c r="G72" i="2" s="1"/>
  <c r="H72" i="2" s="1"/>
  <c r="F212" i="2"/>
  <c r="G212" i="2" s="1"/>
  <c r="H212" i="2" s="1"/>
  <c r="F14" i="2"/>
  <c r="G14" i="2" s="1"/>
  <c r="H14" i="2" s="1"/>
  <c r="F21" i="2"/>
  <c r="G21" i="2" s="1"/>
  <c r="H21" i="2" s="1"/>
  <c r="F168" i="2"/>
  <c r="G168" i="2" s="1"/>
  <c r="H168" i="2" s="1"/>
  <c r="F224" i="2"/>
  <c r="G224" i="2" s="1"/>
  <c r="H224" i="2" s="1"/>
  <c r="F186" i="2"/>
  <c r="G186" i="2" s="1"/>
  <c r="H186" i="2" s="1"/>
  <c r="F389" i="2"/>
  <c r="G389" i="2" s="1"/>
  <c r="H389" i="2" s="1"/>
  <c r="F806" i="2"/>
  <c r="G806" i="2" s="1"/>
  <c r="H806" i="2" s="1"/>
  <c r="F455" i="2"/>
  <c r="G455" i="2" s="1"/>
  <c r="H455" i="2" s="1"/>
  <c r="F367" i="2"/>
  <c r="G367" i="2" s="1"/>
  <c r="H367" i="2" s="1"/>
  <c r="F464" i="2"/>
  <c r="G464" i="2" s="1"/>
  <c r="H464" i="2" s="1"/>
  <c r="F530" i="2"/>
  <c r="G530" i="2" s="1"/>
  <c r="H530" i="2" s="1"/>
  <c r="F156" i="2"/>
  <c r="G156" i="2" s="1"/>
  <c r="H156" i="2" s="1"/>
  <c r="F76" i="2"/>
  <c r="G76" i="2" s="1"/>
  <c r="H76" i="2" s="1"/>
  <c r="F361" i="2"/>
  <c r="G361" i="2" s="1"/>
  <c r="H361" i="2" s="1"/>
  <c r="F890" i="2"/>
  <c r="G890" i="2" s="1"/>
  <c r="H890" i="2" s="1"/>
  <c r="F197" i="2"/>
  <c r="G197" i="2" s="1"/>
  <c r="H197" i="2" s="1"/>
  <c r="F432" i="2"/>
  <c r="G432" i="2" s="1"/>
  <c r="H432" i="2" s="1"/>
  <c r="F270" i="2"/>
  <c r="G270" i="2" s="1"/>
  <c r="H270" i="2" s="1"/>
  <c r="F330" i="2"/>
  <c r="G330" i="2" s="1"/>
  <c r="H330" i="2" s="1"/>
  <c r="F160" i="2"/>
  <c r="G160" i="2" s="1"/>
  <c r="H160" i="2" s="1"/>
  <c r="F609" i="2"/>
  <c r="G609" i="2" s="1"/>
  <c r="H609" i="2" s="1"/>
  <c r="F449" i="2"/>
  <c r="G449" i="2" s="1"/>
  <c r="H449" i="2" s="1"/>
  <c r="F410" i="2"/>
  <c r="G410" i="2" s="1"/>
  <c r="H410" i="2" s="1"/>
  <c r="F273" i="2"/>
  <c r="G273" i="2" s="1"/>
  <c r="H273" i="2" s="1"/>
  <c r="F700" i="2"/>
  <c r="G700" i="2" s="1"/>
  <c r="H700" i="2" s="1"/>
  <c r="F583" i="2"/>
  <c r="G583" i="2" s="1"/>
  <c r="H583" i="2" s="1"/>
  <c r="F93" i="2"/>
  <c r="G93" i="2" s="1"/>
  <c r="H93" i="2" s="1"/>
  <c r="F280" i="2"/>
  <c r="G280" i="2" s="1"/>
  <c r="H280" i="2" s="1"/>
  <c r="F90" i="2"/>
  <c r="G90" i="2" s="1"/>
  <c r="H90" i="2" s="1"/>
  <c r="F333" i="2"/>
  <c r="G333" i="2" s="1"/>
  <c r="H333" i="2" s="1"/>
  <c r="F553" i="2"/>
  <c r="G553" i="2" s="1"/>
  <c r="H553" i="2" s="1"/>
  <c r="F651" i="2"/>
  <c r="G651" i="2" s="1"/>
  <c r="H651" i="2" s="1"/>
  <c r="F498" i="2"/>
  <c r="G498" i="2" s="1"/>
  <c r="H498" i="2" s="1"/>
  <c r="F22" i="2"/>
  <c r="G22" i="2" s="1"/>
  <c r="H22" i="2" s="1"/>
  <c r="F91" i="2"/>
  <c r="G91" i="2" s="1"/>
  <c r="H91" i="2" s="1"/>
  <c r="F381" i="2"/>
  <c r="G381" i="2" s="1"/>
  <c r="H381" i="2" s="1"/>
  <c r="F476" i="2"/>
  <c r="G476" i="2" s="1"/>
  <c r="H476" i="2" s="1"/>
  <c r="F412" i="2"/>
  <c r="G412" i="2" s="1"/>
  <c r="H412" i="2" s="1"/>
  <c r="F944" i="2"/>
  <c r="G944" i="2" s="1"/>
  <c r="H944" i="2" s="1"/>
  <c r="F166" i="2"/>
  <c r="G166" i="2" s="1"/>
  <c r="H166" i="2" s="1"/>
  <c r="F234" i="2"/>
  <c r="G234" i="2" s="1"/>
  <c r="H234" i="2" s="1"/>
  <c r="F146" i="2"/>
  <c r="G146" i="2" s="1"/>
  <c r="H146" i="2" s="1"/>
  <c r="F362" i="2"/>
  <c r="G362" i="2" s="1"/>
  <c r="H362" i="2" s="1"/>
  <c r="F400" i="2"/>
  <c r="G400" i="2" s="1"/>
  <c r="H400" i="2" s="1"/>
  <c r="F835" i="2"/>
  <c r="G835" i="2" s="1"/>
  <c r="H835" i="2" s="1"/>
  <c r="F276" i="2"/>
  <c r="G276" i="2" s="1"/>
  <c r="H276" i="2" s="1"/>
  <c r="F525" i="2"/>
  <c r="G525" i="2" s="1"/>
  <c r="H525" i="2" s="1"/>
  <c r="F715" i="2"/>
  <c r="G715" i="2" s="1"/>
  <c r="H715" i="2" s="1"/>
  <c r="F547" i="2"/>
  <c r="G547" i="2" s="1"/>
  <c r="H547" i="2" s="1"/>
  <c r="F478" i="2"/>
  <c r="G478" i="2" s="1"/>
  <c r="H478" i="2" s="1"/>
  <c r="F909" i="2"/>
  <c r="G909" i="2" s="1"/>
  <c r="H909" i="2" s="1"/>
  <c r="F514" i="2"/>
  <c r="G514" i="2" s="1"/>
  <c r="H514" i="2" s="1"/>
  <c r="F133" i="2"/>
  <c r="G133" i="2" s="1"/>
  <c r="H133" i="2" s="1"/>
  <c r="F43" i="2"/>
  <c r="G43" i="2" s="1"/>
  <c r="H43" i="2" s="1"/>
  <c r="I173" i="2" s="1"/>
  <c r="F535" i="2"/>
  <c r="G535" i="2" s="1"/>
  <c r="H535" i="2" s="1"/>
  <c r="F34" i="2"/>
  <c r="G34" i="2" s="1"/>
  <c r="H34" i="2" s="1"/>
  <c r="F112" i="2"/>
  <c r="G112" i="2" s="1"/>
  <c r="H112" i="2" s="1"/>
  <c r="F407" i="2"/>
  <c r="G407" i="2" s="1"/>
  <c r="H407" i="2" s="1"/>
  <c r="F462" i="2"/>
  <c r="G462" i="2" s="1"/>
  <c r="H462" i="2" s="1"/>
  <c r="F1002" i="2"/>
  <c r="G1002" i="2" s="1"/>
  <c r="H1002" i="2" s="1"/>
  <c r="F571" i="2"/>
  <c r="G571" i="2" s="1"/>
  <c r="H571" i="2" s="1"/>
  <c r="F211" i="2"/>
  <c r="G211" i="2" s="1"/>
  <c r="H211" i="2" s="1"/>
  <c r="F138" i="2"/>
  <c r="G138" i="2" s="1"/>
  <c r="H138" i="2" s="1"/>
  <c r="F349" i="2"/>
  <c r="G349" i="2" s="1"/>
  <c r="H349" i="2" s="1"/>
  <c r="F621" i="2"/>
  <c r="G621" i="2" s="1"/>
  <c r="H621" i="2" s="1"/>
  <c r="F731" i="2"/>
  <c r="G731" i="2" s="1"/>
  <c r="H731" i="2" s="1"/>
  <c r="F753" i="2"/>
  <c r="G753" i="2" s="1"/>
  <c r="H753" i="2" s="1"/>
  <c r="F268" i="2"/>
  <c r="G268" i="2" s="1"/>
  <c r="H268" i="2" s="1"/>
  <c r="F951" i="2"/>
  <c r="G951" i="2" s="1"/>
  <c r="H951" i="2" s="1"/>
  <c r="F646" i="2"/>
  <c r="G646" i="2" s="1"/>
  <c r="H646" i="2" s="1"/>
  <c r="F427" i="2"/>
  <c r="G427" i="2" s="1"/>
  <c r="H427" i="2" s="1"/>
  <c r="F773" i="2"/>
  <c r="G773" i="2" s="1"/>
  <c r="H773" i="2" s="1"/>
  <c r="F490" i="2"/>
  <c r="G490" i="2" s="1"/>
  <c r="H490" i="2" s="1"/>
  <c r="F49" i="2"/>
  <c r="G49" i="2" s="1"/>
  <c r="H49" i="2" s="1"/>
  <c r="F501" i="2"/>
  <c r="G501" i="2" s="1"/>
  <c r="H501" i="2" s="1"/>
  <c r="F555" i="2"/>
  <c r="G555" i="2" s="1"/>
  <c r="H555" i="2" s="1"/>
  <c r="F892" i="2"/>
  <c r="G892" i="2" s="1"/>
  <c r="H892" i="2" s="1"/>
  <c r="F756" i="2"/>
  <c r="G756" i="2" s="1"/>
  <c r="H756" i="2" s="1"/>
  <c r="F718" i="2"/>
  <c r="G718" i="2" s="1"/>
  <c r="H718" i="2" s="1"/>
  <c r="F108" i="2"/>
  <c r="G108" i="2" s="1"/>
  <c r="H108" i="2" s="1"/>
  <c r="F812" i="2"/>
  <c r="G812" i="2" s="1"/>
  <c r="H812" i="2" s="1"/>
  <c r="F826" i="2"/>
  <c r="G826" i="2" s="1"/>
  <c r="H826" i="2" s="1"/>
  <c r="F38" i="2"/>
  <c r="G38" i="2" s="1"/>
  <c r="H38" i="2" s="1"/>
  <c r="F122" i="2"/>
  <c r="G122" i="2" s="1"/>
  <c r="H122" i="2" s="1"/>
  <c r="F53" i="2"/>
  <c r="G53" i="2" s="1"/>
  <c r="H53" i="2" s="1"/>
  <c r="F396" i="2"/>
  <c r="G396" i="2" s="1"/>
  <c r="H396" i="2" s="1"/>
  <c r="F670" i="2"/>
  <c r="G670" i="2" s="1"/>
  <c r="H670" i="2" s="1"/>
  <c r="F139" i="2"/>
  <c r="G139" i="2" s="1"/>
  <c r="H139" i="2" s="1"/>
  <c r="F282" i="2"/>
  <c r="G282" i="2" s="1"/>
  <c r="H282" i="2" s="1"/>
  <c r="F220" i="2"/>
  <c r="G220" i="2" s="1"/>
  <c r="H220" i="2" s="1"/>
  <c r="F710" i="2"/>
  <c r="G710" i="2" s="1"/>
  <c r="H710" i="2" s="1"/>
  <c r="F702" i="2"/>
  <c r="G702" i="2" s="1"/>
  <c r="H702" i="2" s="1"/>
  <c r="F69" i="2"/>
  <c r="G69" i="2" s="1"/>
  <c r="H69" i="2" s="1"/>
  <c r="F633" i="2"/>
  <c r="G633" i="2" s="1"/>
  <c r="H633" i="2" s="1"/>
  <c r="F52" i="2"/>
  <c r="G52" i="2" s="1"/>
  <c r="H52" i="2" s="1"/>
  <c r="F527" i="2"/>
  <c r="G527" i="2" s="1"/>
  <c r="H527" i="2" s="1"/>
  <c r="F80" i="2"/>
  <c r="G80" i="2" s="1"/>
  <c r="H80" i="2" s="1"/>
  <c r="F907" i="2"/>
  <c r="G907" i="2" s="1"/>
  <c r="H907" i="2" s="1"/>
  <c r="F605" i="2"/>
  <c r="G605" i="2" s="1"/>
  <c r="H605" i="2" s="1"/>
  <c r="F356" i="2"/>
  <c r="G356" i="2" s="1"/>
  <c r="H356" i="2" s="1"/>
  <c r="F617" i="2"/>
  <c r="G617" i="2" s="1"/>
  <c r="H617" i="2" s="1"/>
  <c r="F195" i="2"/>
  <c r="G195" i="2" s="1"/>
  <c r="H195" i="2" s="1"/>
  <c r="F645" i="2"/>
  <c r="G645" i="2" s="1"/>
  <c r="H645" i="2" s="1"/>
  <c r="F769" i="2"/>
  <c r="G769" i="2" s="1"/>
  <c r="H769" i="2" s="1"/>
  <c r="F872" i="2"/>
  <c r="G872" i="2" s="1"/>
  <c r="H872" i="2" s="1"/>
  <c r="F787" i="2"/>
  <c r="G787" i="2" s="1"/>
  <c r="H787" i="2" s="1"/>
  <c r="F825" i="2"/>
  <c r="G825" i="2" s="1"/>
  <c r="H825" i="2" s="1"/>
  <c r="F762" i="2"/>
  <c r="G762" i="2" s="1"/>
  <c r="H762" i="2" s="1"/>
  <c r="F71" i="2"/>
  <c r="G71" i="2" s="1"/>
  <c r="H71" i="2" s="1"/>
  <c r="F574" i="2"/>
  <c r="G574" i="2" s="1"/>
  <c r="H574" i="2" s="1"/>
  <c r="F913" i="2"/>
  <c r="G913" i="2" s="1"/>
  <c r="H913" i="2" s="1"/>
  <c r="F813" i="2"/>
  <c r="G813" i="2" s="1"/>
  <c r="H813" i="2" s="1"/>
  <c r="F831" i="2"/>
  <c r="G831" i="2" s="1"/>
  <c r="H831" i="2" s="1"/>
  <c r="F314" i="2"/>
  <c r="G314" i="2" s="1"/>
  <c r="H314" i="2" s="1"/>
  <c r="F77" i="2"/>
  <c r="G77" i="2" s="1"/>
  <c r="H77" i="2" s="1"/>
  <c r="F898" i="2"/>
  <c r="G898" i="2" s="1"/>
  <c r="H898" i="2" s="1"/>
  <c r="F68" i="2"/>
  <c r="G68" i="2" s="1"/>
  <c r="H68" i="2" s="1"/>
  <c r="F885" i="2"/>
  <c r="G885" i="2" s="1"/>
  <c r="H885" i="2" s="1"/>
  <c r="F748" i="2"/>
  <c r="G748" i="2" s="1"/>
  <c r="H748" i="2" s="1"/>
  <c r="F760" i="2"/>
  <c r="G760" i="2" s="1"/>
  <c r="H760" i="2" s="1"/>
  <c r="F906" i="2"/>
  <c r="G906" i="2" s="1"/>
  <c r="H906" i="2" s="1"/>
  <c r="F51" i="2"/>
  <c r="G51" i="2" s="1"/>
  <c r="H51" i="2" s="1"/>
  <c r="F709" i="2"/>
  <c r="G709" i="2" s="1"/>
  <c r="H709" i="2" s="1"/>
  <c r="F720" i="2"/>
  <c r="G720" i="2" s="1"/>
  <c r="H720" i="2" s="1"/>
  <c r="F926" i="2"/>
  <c r="G926" i="2" s="1"/>
  <c r="H926" i="2" s="1"/>
  <c r="F567" i="2"/>
  <c r="G567" i="2" s="1"/>
  <c r="H567" i="2" s="1"/>
  <c r="F63" i="2"/>
  <c r="G63" i="2" s="1"/>
  <c r="H63" i="2" s="1"/>
  <c r="F712" i="2"/>
  <c r="G712" i="2" s="1"/>
  <c r="H712" i="2" s="1"/>
  <c r="F732" i="2"/>
  <c r="G732" i="2" s="1"/>
  <c r="H732" i="2" s="1"/>
  <c r="F991" i="2"/>
  <c r="G991" i="2" s="1"/>
  <c r="H991" i="2" s="1"/>
  <c r="F178" i="2"/>
  <c r="G178" i="2" s="1"/>
  <c r="H178" i="2" s="1"/>
  <c r="F207" i="2"/>
  <c r="G207" i="2" s="1"/>
  <c r="H207" i="2" s="1"/>
  <c r="F368" i="2"/>
  <c r="G368" i="2" s="1"/>
  <c r="H368" i="2" s="1"/>
  <c r="F687" i="2"/>
  <c r="G687" i="2" s="1"/>
  <c r="H687" i="2" s="1"/>
  <c r="F727" i="2"/>
  <c r="G727" i="2" s="1"/>
  <c r="H727" i="2" s="1"/>
  <c r="F819" i="2"/>
  <c r="G819" i="2" s="1"/>
  <c r="H819" i="2" s="1"/>
  <c r="F1003" i="2"/>
  <c r="G1003" i="2" s="1"/>
  <c r="H1003" i="2" s="1"/>
  <c r="F101" i="2"/>
  <c r="G101" i="2" s="1"/>
  <c r="H101" i="2" s="1"/>
  <c r="F480" i="2"/>
  <c r="G480" i="2" s="1"/>
  <c r="H480" i="2" s="1"/>
  <c r="F241" i="2"/>
  <c r="G241" i="2" s="1"/>
  <c r="H241" i="2" s="1"/>
  <c r="F442" i="2"/>
  <c r="G442" i="2" s="1"/>
  <c r="H442" i="2" s="1"/>
  <c r="F203" i="2"/>
  <c r="G203" i="2" s="1"/>
  <c r="H203" i="2" s="1"/>
  <c r="F310" i="2"/>
  <c r="G310" i="2" s="1"/>
  <c r="H310" i="2" s="1"/>
  <c r="F339" i="2"/>
  <c r="G339" i="2" s="1"/>
  <c r="H339" i="2" s="1"/>
  <c r="F512" i="2"/>
  <c r="G512" i="2" s="1"/>
  <c r="H512" i="2" s="1"/>
  <c r="F469" i="2"/>
  <c r="G469" i="2" s="1"/>
  <c r="H469" i="2" s="1"/>
  <c r="F899" i="2"/>
  <c r="G899" i="2" s="1"/>
  <c r="H899" i="2" s="1"/>
  <c r="F774" i="2"/>
  <c r="G774" i="2" s="1"/>
  <c r="H774" i="2" s="1"/>
  <c r="F936" i="2"/>
  <c r="G936" i="2" s="1"/>
  <c r="H936" i="2" s="1"/>
  <c r="F115" i="2"/>
  <c r="G115" i="2" s="1"/>
  <c r="H115" i="2" s="1"/>
  <c r="F494" i="2"/>
  <c r="G494" i="2" s="1"/>
  <c r="H494" i="2" s="1"/>
  <c r="F244" i="2"/>
  <c r="G244" i="2" s="1"/>
  <c r="H244" i="2" s="1"/>
  <c r="F491" i="2"/>
  <c r="G491" i="2" s="1"/>
  <c r="H491" i="2" s="1"/>
  <c r="F206" i="2"/>
  <c r="G206" i="2" s="1"/>
  <c r="H206" i="2" s="1"/>
  <c r="F322" i="2"/>
  <c r="G322" i="2" s="1"/>
  <c r="H322" i="2" s="1"/>
  <c r="F351" i="2"/>
  <c r="G351" i="2" s="1"/>
  <c r="H351" i="2" s="1"/>
  <c r="F533" i="2"/>
  <c r="G533" i="2" s="1"/>
  <c r="H533" i="2" s="1"/>
  <c r="F481" i="2"/>
  <c r="G481" i="2" s="1"/>
  <c r="H481" i="2" s="1"/>
  <c r="F915" i="2"/>
  <c r="G915" i="2" s="1"/>
  <c r="H915" i="2" s="1"/>
  <c r="F786" i="2"/>
  <c r="G786" i="2" s="1"/>
  <c r="H786" i="2" s="1"/>
  <c r="F948" i="2"/>
  <c r="G948" i="2" s="1"/>
  <c r="H948" i="2" s="1"/>
  <c r="F694" i="2"/>
  <c r="G694" i="2" s="1"/>
  <c r="H694" i="2" s="1"/>
  <c r="F391" i="2"/>
  <c r="G391" i="2" s="1"/>
  <c r="H391" i="2" s="1"/>
  <c r="F78" i="2"/>
  <c r="G78" i="2" s="1"/>
  <c r="H78" i="2" s="1"/>
  <c r="F395" i="2"/>
  <c r="G395" i="2" s="1"/>
  <c r="H395" i="2" s="1"/>
  <c r="F444" i="2"/>
  <c r="G444" i="2" s="1"/>
  <c r="H444" i="2" s="1"/>
  <c r="F585" i="2"/>
  <c r="G585" i="2" s="1"/>
  <c r="H585" i="2" s="1"/>
  <c r="F793" i="2"/>
  <c r="G793" i="2" s="1"/>
  <c r="H793" i="2" s="1"/>
  <c r="F620" i="2"/>
  <c r="G620" i="2" s="1"/>
  <c r="H620" i="2" s="1"/>
  <c r="F576" i="2"/>
  <c r="G576" i="2" s="1"/>
  <c r="H576" i="2" s="1"/>
  <c r="F946" i="2"/>
  <c r="G946" i="2" s="1"/>
  <c r="H946" i="2" s="1"/>
  <c r="F869" i="2"/>
  <c r="G869" i="2" s="1"/>
  <c r="H869" i="2" s="1"/>
  <c r="F601" i="2"/>
  <c r="G601" i="2" s="1"/>
  <c r="H601" i="2" s="1"/>
  <c r="F747" i="2"/>
  <c r="G747" i="2" s="1"/>
  <c r="H747" i="2" s="1"/>
  <c r="F426" i="2"/>
  <c r="G426" i="2" s="1"/>
  <c r="H426" i="2" s="1"/>
  <c r="F81" i="2"/>
  <c r="G81" i="2" s="1"/>
  <c r="H81" i="2" s="1"/>
  <c r="F398" i="2"/>
  <c r="G398" i="2" s="1"/>
  <c r="H398" i="2" s="1"/>
  <c r="F486" i="2"/>
  <c r="G486" i="2" s="1"/>
  <c r="H486" i="2" s="1"/>
  <c r="F606" i="2"/>
  <c r="G606" i="2" s="1"/>
  <c r="H606" i="2" s="1"/>
  <c r="F799" i="2"/>
  <c r="G799" i="2" s="1"/>
  <c r="H799" i="2" s="1"/>
  <c r="F623" i="2"/>
  <c r="G623" i="2" s="1"/>
  <c r="H623" i="2" s="1"/>
  <c r="F588" i="2"/>
  <c r="G588" i="2" s="1"/>
  <c r="H588" i="2" s="1"/>
  <c r="F949" i="2"/>
  <c r="G949" i="2" s="1"/>
  <c r="H949" i="2" s="1"/>
  <c r="F881" i="2"/>
  <c r="G881" i="2" s="1"/>
  <c r="H881" i="2" s="1"/>
  <c r="F618" i="2"/>
  <c r="G618" i="2" s="1"/>
  <c r="H618" i="2" s="1"/>
  <c r="F46" i="2"/>
  <c r="G46" i="2" s="1"/>
  <c r="H46" i="2" s="1"/>
  <c r="F489" i="2"/>
  <c r="G489" i="2" s="1"/>
  <c r="H489" i="2" s="1"/>
  <c r="F686" i="2"/>
  <c r="G686" i="2" s="1"/>
  <c r="H686" i="2" s="1"/>
  <c r="F363" i="2"/>
  <c r="G363" i="2" s="1"/>
  <c r="H363" i="2" s="1"/>
  <c r="F933" i="2"/>
  <c r="G933" i="2" s="1"/>
  <c r="H933" i="2" s="1"/>
  <c r="F380" i="2"/>
  <c r="G380" i="2" s="1"/>
  <c r="H380" i="2" s="1"/>
  <c r="F805" i="2"/>
  <c r="G805" i="2" s="1"/>
  <c r="H805" i="2" s="1"/>
  <c r="F488" i="2"/>
  <c r="G488" i="2" s="1"/>
  <c r="H488" i="2" s="1"/>
  <c r="F626" i="2"/>
  <c r="G626" i="2" s="1"/>
  <c r="H626" i="2" s="1"/>
  <c r="F895" i="2"/>
  <c r="G895" i="2" s="1"/>
  <c r="H895" i="2" s="1"/>
  <c r="F930" i="2"/>
  <c r="G930" i="2" s="1"/>
  <c r="H930" i="2" s="1"/>
  <c r="F740" i="2"/>
  <c r="G740" i="2" s="1"/>
  <c r="H740" i="2" s="1"/>
  <c r="F629" i="2"/>
  <c r="G629" i="2" s="1"/>
  <c r="H629" i="2" s="1"/>
  <c r="F798" i="2"/>
  <c r="G798" i="2" s="1"/>
  <c r="H798" i="2" s="1"/>
  <c r="F952" i="2"/>
  <c r="G952" i="2" s="1"/>
  <c r="H952" i="2" s="1"/>
  <c r="F772" i="2"/>
  <c r="G772" i="2" s="1"/>
  <c r="H772" i="2" s="1"/>
  <c r="F932" i="2"/>
  <c r="G932" i="2" s="1"/>
  <c r="H932" i="2" s="1"/>
  <c r="F893" i="2"/>
  <c r="G893" i="2" s="1"/>
  <c r="H893" i="2" s="1"/>
  <c r="F377" i="2"/>
  <c r="G377" i="2" s="1"/>
  <c r="H377" i="2" s="1"/>
  <c r="F235" i="2"/>
  <c r="G235" i="2" s="1"/>
  <c r="H235" i="2" s="1"/>
  <c r="F258" i="2"/>
  <c r="G258" i="2" s="1"/>
  <c r="H258" i="2" s="1"/>
  <c r="F768" i="2"/>
  <c r="G768" i="2" s="1"/>
  <c r="H768" i="2" s="1"/>
  <c r="F603" i="2"/>
  <c r="G603" i="2" s="1"/>
  <c r="H603" i="2" s="1"/>
  <c r="F360" i="2"/>
  <c r="G360" i="2" s="1"/>
  <c r="H360" i="2" s="1"/>
  <c r="F117" i="2"/>
  <c r="G117" i="2" s="1"/>
  <c r="H117" i="2" s="1"/>
  <c r="F446" i="2"/>
  <c r="G446" i="2" s="1"/>
  <c r="H446" i="2" s="1"/>
  <c r="F25" i="2"/>
  <c r="G25" i="2" s="1"/>
  <c r="H25" i="2" s="1"/>
  <c r="F509" i="2"/>
  <c r="G509" i="2" s="1"/>
  <c r="H509" i="2" s="1"/>
  <c r="F55" i="2"/>
  <c r="G55" i="2" s="1"/>
  <c r="H55" i="2" s="1"/>
  <c r="F506" i="2"/>
  <c r="G506" i="2" s="1"/>
  <c r="H506" i="2" s="1"/>
  <c r="F521" i="2"/>
  <c r="G521" i="2" s="1"/>
  <c r="H521" i="2" s="1"/>
  <c r="F549" i="2"/>
  <c r="G549" i="2" s="1"/>
  <c r="H549" i="2" s="1"/>
  <c r="F251" i="2"/>
  <c r="G251" i="2" s="1"/>
  <c r="H251" i="2" s="1"/>
  <c r="F939" i="2"/>
  <c r="G939" i="2" s="1"/>
  <c r="H939" i="2" s="1"/>
  <c r="F346" i="2"/>
  <c r="G346" i="2" s="1"/>
  <c r="H346" i="2" s="1"/>
  <c r="F730" i="2"/>
  <c r="G730" i="2" s="1"/>
  <c r="H730" i="2" s="1"/>
  <c r="F231" i="2"/>
  <c r="G231" i="2" s="1"/>
  <c r="H231" i="2" s="1"/>
  <c r="F657" i="2"/>
  <c r="G657" i="2" s="1"/>
  <c r="H657" i="2" s="1"/>
  <c r="F248" i="2"/>
  <c r="G248" i="2" s="1"/>
  <c r="H248" i="2" s="1"/>
  <c r="F560" i="2"/>
  <c r="G560" i="2" s="1"/>
  <c r="H560" i="2" s="1"/>
  <c r="F742" i="2"/>
  <c r="G742" i="2" s="1"/>
  <c r="H742" i="2" s="1"/>
  <c r="F693" i="2"/>
  <c r="G693" i="2" s="1"/>
  <c r="H693" i="2" s="1"/>
  <c r="F668" i="2"/>
  <c r="G668" i="2" s="1"/>
  <c r="H668" i="2" s="1"/>
  <c r="F607" i="2"/>
  <c r="G607" i="2" s="1"/>
  <c r="H607" i="2" s="1"/>
  <c r="F757" i="2"/>
  <c r="G757" i="2" s="1"/>
  <c r="H757" i="2" s="1"/>
  <c r="F612" i="2"/>
  <c r="G612" i="2" s="1"/>
  <c r="H612" i="2" s="1"/>
  <c r="F938" i="2"/>
  <c r="G938" i="2" s="1"/>
  <c r="H938" i="2" s="1"/>
  <c r="F850" i="2"/>
  <c r="G850" i="2" s="1"/>
  <c r="H850" i="2" s="1"/>
  <c r="F994" i="2"/>
  <c r="G994" i="2" s="1"/>
  <c r="H994" i="2" s="1"/>
  <c r="F871" i="2"/>
  <c r="G871" i="2" s="1"/>
  <c r="H871" i="2" s="1"/>
  <c r="F784" i="2"/>
  <c r="G784" i="2" s="1"/>
  <c r="H784" i="2" s="1"/>
  <c r="F956" i="2"/>
  <c r="G956" i="2" s="1"/>
  <c r="H956" i="2" s="1"/>
  <c r="F905" i="2"/>
  <c r="G905" i="2" s="1"/>
  <c r="H905" i="2" s="1"/>
  <c r="F697" i="2"/>
  <c r="G697" i="2" s="1"/>
  <c r="H697" i="2" s="1"/>
  <c r="F416" i="2"/>
  <c r="G416" i="2" s="1"/>
  <c r="H416" i="2" s="1"/>
  <c r="F354" i="2"/>
  <c r="G354" i="2" s="1"/>
  <c r="H354" i="2" s="1"/>
  <c r="F705" i="2"/>
  <c r="G705" i="2" s="1"/>
  <c r="H705" i="2" s="1"/>
  <c r="F484" i="2"/>
  <c r="G484" i="2" s="1"/>
  <c r="H484" i="2" s="1"/>
  <c r="F165" i="2"/>
  <c r="G165" i="2" s="1"/>
  <c r="H165" i="2" s="1"/>
  <c r="F802" i="2"/>
  <c r="G802" i="2" s="1"/>
  <c r="H802" i="2" s="1"/>
  <c r="F832" i="2"/>
  <c r="G832" i="2" s="1"/>
  <c r="H832" i="2" s="1"/>
  <c r="F131" i="2"/>
  <c r="G131" i="2" s="1"/>
  <c r="H131" i="2" s="1"/>
  <c r="F453" i="2"/>
  <c r="G453" i="2" s="1"/>
  <c r="H453" i="2" s="1"/>
  <c r="F163" i="2"/>
  <c r="G163" i="2" s="1"/>
  <c r="H163" i="2" s="1"/>
  <c r="F458" i="2"/>
  <c r="G458" i="2" s="1"/>
  <c r="H458" i="2" s="1"/>
  <c r="F29" i="2"/>
  <c r="G29" i="2" s="1"/>
  <c r="H29" i="2" s="1"/>
  <c r="F97" i="2"/>
  <c r="G97" i="2" s="1"/>
  <c r="H97" i="2" s="1"/>
  <c r="F887" i="2"/>
  <c r="G887" i="2" s="1"/>
  <c r="H887" i="2" s="1"/>
  <c r="F129" i="2"/>
  <c r="G129" i="2" s="1"/>
  <c r="H129" i="2" s="1"/>
  <c r="F62" i="2"/>
  <c r="G62" i="2" s="1"/>
  <c r="H62" i="2" s="1"/>
  <c r="F669" i="2"/>
  <c r="G669" i="2" s="1"/>
  <c r="H669" i="2" s="1"/>
  <c r="F70" i="2"/>
  <c r="G70" i="2" s="1"/>
  <c r="H70" i="2" s="1"/>
  <c r="F522" i="2"/>
  <c r="G522" i="2" s="1"/>
  <c r="H522" i="2" s="1"/>
  <c r="F99" i="2"/>
  <c r="G99" i="2" s="1"/>
  <c r="H99" i="2" s="1"/>
  <c r="F243" i="2"/>
  <c r="G243" i="2" s="1"/>
  <c r="H243" i="2" s="1"/>
  <c r="F508" i="2"/>
  <c r="G508" i="2" s="1"/>
  <c r="H508" i="2" s="1"/>
  <c r="F404" i="2"/>
  <c r="G404" i="2" s="1"/>
  <c r="H404" i="2" s="1"/>
  <c r="F568" i="2"/>
  <c r="G568" i="2" s="1"/>
  <c r="H568" i="2" s="1"/>
  <c r="F750" i="2"/>
  <c r="G750" i="2" s="1"/>
  <c r="H750" i="2" s="1"/>
  <c r="F829" i="2"/>
  <c r="G829" i="2" s="1"/>
  <c r="H829" i="2" s="1"/>
  <c r="F619" i="2"/>
  <c r="G619" i="2" s="1"/>
  <c r="H619" i="2" s="1"/>
  <c r="F624" i="2"/>
  <c r="G624" i="2" s="1"/>
  <c r="H624" i="2" s="1"/>
  <c r="F954" i="2"/>
  <c r="G954" i="2" s="1"/>
  <c r="H954" i="2" s="1"/>
  <c r="F840" i="2"/>
  <c r="G840" i="2" s="1"/>
  <c r="H840" i="2" s="1"/>
  <c r="F466" i="2"/>
  <c r="G466" i="2" s="1"/>
  <c r="H466" i="2" s="1"/>
  <c r="F461" i="2"/>
  <c r="G461" i="2" s="1"/>
  <c r="H461" i="2" s="1"/>
  <c r="F249" i="2"/>
  <c r="G249" i="2" s="1"/>
  <c r="H249" i="2" s="1"/>
  <c r="F504" i="2"/>
  <c r="G504" i="2" s="1"/>
  <c r="H504" i="2" s="1"/>
  <c r="F227" i="2"/>
  <c r="G227" i="2" s="1"/>
  <c r="H227" i="2" s="1"/>
  <c r="F242" i="2"/>
  <c r="G242" i="2" s="1"/>
  <c r="H242" i="2" s="1"/>
  <c r="F408" i="2"/>
  <c r="G408" i="2" s="1"/>
  <c r="H408" i="2" s="1"/>
  <c r="F184" i="2"/>
  <c r="G184" i="2" s="1"/>
  <c r="H184" i="2" s="1"/>
  <c r="F175" i="2"/>
  <c r="G175" i="2" s="1"/>
  <c r="H175" i="2" s="1"/>
  <c r="F685" i="2"/>
  <c r="G685" i="2" s="1"/>
  <c r="H685" i="2" s="1"/>
  <c r="F634" i="2"/>
  <c r="G634" i="2" s="1"/>
  <c r="H634" i="2" s="1"/>
  <c r="F577" i="2"/>
  <c r="G577" i="2" s="1"/>
  <c r="H577" i="2" s="1"/>
  <c r="F472" i="2"/>
  <c r="G472" i="2" s="1"/>
  <c r="H472" i="2" s="1"/>
  <c r="F292" i="2"/>
  <c r="G292" i="2" s="1"/>
  <c r="H292" i="2" s="1"/>
  <c r="F908" i="2"/>
  <c r="G908" i="2" s="1"/>
  <c r="H908" i="2" s="1"/>
  <c r="F630" i="2"/>
  <c r="G630" i="2" s="1"/>
  <c r="H630" i="2" s="1"/>
  <c r="F599" i="2"/>
  <c r="G599" i="2" s="1"/>
  <c r="H599" i="2" s="1"/>
  <c r="F257" i="2"/>
  <c r="G257" i="2" s="1"/>
  <c r="H257" i="2" s="1"/>
  <c r="F584" i="2"/>
  <c r="G584" i="2" s="1"/>
  <c r="H584" i="2" s="1"/>
  <c r="F226" i="2"/>
  <c r="G226" i="2" s="1"/>
  <c r="H226" i="2" s="1"/>
  <c r="F837" i="2"/>
  <c r="G837" i="2" s="1"/>
  <c r="H837" i="2" s="1"/>
  <c r="F255" i="2"/>
  <c r="G255" i="2" s="1"/>
  <c r="H255" i="2" s="1"/>
  <c r="F529" i="2"/>
  <c r="G529" i="2" s="1"/>
  <c r="H529" i="2" s="1"/>
  <c r="F272" i="2"/>
  <c r="G272" i="2" s="1"/>
  <c r="H272" i="2" s="1"/>
  <c r="F447" i="2"/>
  <c r="G447" i="2" s="1"/>
  <c r="H447" i="2" s="1"/>
  <c r="F795" i="2"/>
  <c r="G795" i="2" s="1"/>
  <c r="H795" i="2" s="1"/>
  <c r="F770" i="2"/>
  <c r="G770" i="2" s="1"/>
  <c r="H770" i="2" s="1"/>
  <c r="F674" i="2"/>
  <c r="G674" i="2" s="1"/>
  <c r="H674" i="2" s="1"/>
  <c r="F921" i="2"/>
  <c r="G921" i="2" s="1"/>
  <c r="H921" i="2" s="1"/>
  <c r="F801" i="2"/>
  <c r="G801" i="2" s="1"/>
  <c r="H801" i="2" s="1"/>
  <c r="F782" i="2"/>
  <c r="G782" i="2" s="1"/>
  <c r="H782" i="2" s="1"/>
  <c r="F896" i="2"/>
  <c r="G896" i="2" s="1"/>
  <c r="H896" i="2" s="1"/>
  <c r="F897" i="2"/>
  <c r="G897" i="2" s="1"/>
  <c r="H897" i="2" s="1"/>
  <c r="F996" i="2"/>
  <c r="G996" i="2" s="1"/>
  <c r="H996" i="2" s="1"/>
  <c r="F187" i="2"/>
  <c r="G187" i="2" s="1"/>
  <c r="H187" i="2" s="1"/>
  <c r="F783" i="2"/>
  <c r="G783" i="2" s="1"/>
  <c r="H783" i="2" s="1"/>
  <c r="F275" i="2"/>
  <c r="G275" i="2" s="1"/>
  <c r="H275" i="2" s="1"/>
  <c r="F424" i="2"/>
  <c r="G424" i="2" s="1"/>
  <c r="H424" i="2" s="1"/>
  <c r="F261" i="2"/>
  <c r="G261" i="2" s="1"/>
  <c r="H261" i="2" s="1"/>
  <c r="F24" i="2"/>
  <c r="G24" i="2" s="1"/>
  <c r="H24" i="2" s="1"/>
  <c r="F83" i="2"/>
  <c r="G83" i="2" s="1"/>
  <c r="H83" i="2" s="1"/>
  <c r="F119" i="2"/>
  <c r="G119" i="2" s="1"/>
  <c r="H119" i="2" s="1"/>
  <c r="F295" i="2"/>
  <c r="G295" i="2" s="1"/>
  <c r="H295" i="2" s="1"/>
  <c r="F928" i="2"/>
  <c r="G928" i="2" s="1"/>
  <c r="H928" i="2" s="1"/>
  <c r="F174" i="2"/>
  <c r="G174" i="2" s="1"/>
  <c r="H174" i="2" s="1"/>
  <c r="F650" i="2"/>
  <c r="G650" i="2" s="1"/>
  <c r="H650" i="2" s="1"/>
  <c r="F299" i="2"/>
  <c r="G299" i="2" s="1"/>
  <c r="H299" i="2" s="1"/>
  <c r="F614" i="2"/>
  <c r="G614" i="2" s="1"/>
  <c r="H614" i="2" s="1"/>
  <c r="F238" i="2"/>
  <c r="G238" i="2" s="1"/>
  <c r="H238" i="2" s="1"/>
  <c r="F548" i="2"/>
  <c r="G548" i="2" s="1"/>
  <c r="H548" i="2" s="1"/>
  <c r="F123" i="2"/>
  <c r="G123" i="2" s="1"/>
  <c r="H123" i="2" s="1"/>
  <c r="F411" i="2"/>
  <c r="G411" i="2" s="1"/>
  <c r="H411" i="2" s="1"/>
  <c r="F563" i="2"/>
  <c r="G563" i="2" s="1"/>
  <c r="H563" i="2" s="1"/>
  <c r="F284" i="2"/>
  <c r="G284" i="2" s="1"/>
  <c r="H284" i="2" s="1"/>
  <c r="F632" i="2"/>
  <c r="G632" i="2" s="1"/>
  <c r="H632" i="2" s="1"/>
  <c r="F879" i="2"/>
  <c r="G879" i="2" s="1"/>
  <c r="H879" i="2" s="1"/>
  <c r="F957" i="2"/>
  <c r="G957" i="2" s="1"/>
  <c r="H957" i="2" s="1"/>
  <c r="F716" i="2"/>
  <c r="G716" i="2" s="1"/>
  <c r="H716" i="2" s="1"/>
  <c r="F931" i="2"/>
  <c r="G931" i="2" s="1"/>
  <c r="H931" i="2" s="1"/>
  <c r="F804" i="2"/>
  <c r="G804" i="2" s="1"/>
  <c r="H804" i="2" s="1"/>
  <c r="F648" i="2"/>
  <c r="G648" i="2" s="1"/>
  <c r="H648" i="2" s="1"/>
  <c r="F1005" i="2"/>
  <c r="G1005" i="2" s="1"/>
  <c r="H1005" i="2" s="1"/>
  <c r="F911" i="2"/>
  <c r="G911" i="2" s="1"/>
  <c r="H911" i="2" s="1"/>
  <c r="F743" i="2"/>
  <c r="G743" i="2" s="1"/>
  <c r="H743" i="2" s="1"/>
  <c r="F814" i="2"/>
  <c r="G814" i="2" s="1"/>
  <c r="H814" i="2" s="1"/>
  <c r="F941" i="2"/>
  <c r="G941" i="2" s="1"/>
  <c r="H941" i="2" s="1"/>
  <c r="F329" i="2"/>
  <c r="G329" i="2" s="1"/>
  <c r="H329" i="2" s="1"/>
  <c r="F638" i="2"/>
  <c r="G638" i="2" s="1"/>
  <c r="H638" i="2" s="1"/>
  <c r="F210" i="2"/>
  <c r="G210" i="2" s="1"/>
  <c r="H210" i="2" s="1"/>
  <c r="F966" i="2"/>
  <c r="G966" i="2" s="1"/>
  <c r="H966" i="2" s="1"/>
  <c r="F976" i="2"/>
  <c r="G976" i="2" s="1"/>
  <c r="H976" i="2" s="1"/>
  <c r="F309" i="2"/>
  <c r="G309" i="2" s="1"/>
  <c r="H309" i="2" s="1"/>
  <c r="F290" i="2"/>
  <c r="G290" i="2" s="1"/>
  <c r="H290" i="2" s="1"/>
  <c r="F673" i="2"/>
  <c r="G673" i="2" s="1"/>
  <c r="H673" i="2" s="1"/>
  <c r="F376" i="2"/>
  <c r="G376" i="2" s="1"/>
  <c r="H376" i="2" s="1"/>
  <c r="F223" i="2"/>
  <c r="G223" i="2" s="1"/>
  <c r="H223" i="2" s="1"/>
  <c r="F216" i="2"/>
  <c r="G216" i="2" s="1"/>
  <c r="H216" i="2" s="1"/>
  <c r="F336" i="2"/>
  <c r="G336" i="2" s="1"/>
  <c r="H336" i="2" s="1"/>
  <c r="F277" i="2"/>
  <c r="G277" i="2" s="1"/>
  <c r="H277" i="2" s="1"/>
  <c r="F125" i="2"/>
  <c r="G125" i="2" s="1"/>
  <c r="H125" i="2" s="1"/>
  <c r="F145" i="2"/>
  <c r="G145" i="2" s="1"/>
  <c r="H145" i="2" s="1"/>
  <c r="F656" i="2"/>
  <c r="G656" i="2" s="1"/>
  <c r="H656" i="2" s="1"/>
  <c r="F771" i="2"/>
  <c r="G771" i="2" s="1"/>
  <c r="H771" i="2" s="1"/>
  <c r="F369" i="2"/>
  <c r="G369" i="2" s="1"/>
  <c r="H369" i="2" s="1"/>
  <c r="F110" i="2"/>
  <c r="G110" i="2" s="1"/>
  <c r="H110" i="2" s="1"/>
  <c r="F474" i="2"/>
  <c r="G474" i="2" s="1"/>
  <c r="H474" i="2" s="1"/>
  <c r="F635" i="2"/>
  <c r="G635" i="2" s="1"/>
  <c r="H635" i="2" s="1"/>
  <c r="F250" i="2"/>
  <c r="G250" i="2" s="1"/>
  <c r="H250" i="2" s="1"/>
  <c r="F580" i="2"/>
  <c r="G580" i="2" s="1"/>
  <c r="H580" i="2" s="1"/>
  <c r="F968" i="2"/>
  <c r="G968" i="2" s="1"/>
  <c r="H968" i="2" s="1"/>
  <c r="F279" i="2"/>
  <c r="G279" i="2" s="1"/>
  <c r="H279" i="2" s="1"/>
  <c r="F726" i="2"/>
  <c r="G726" i="2" s="1"/>
  <c r="H726" i="2" s="1"/>
  <c r="F152" i="2"/>
  <c r="G152" i="2" s="1"/>
  <c r="H152" i="2" s="1"/>
  <c r="F451" i="2"/>
  <c r="G451" i="2" s="1"/>
  <c r="H451" i="2" s="1"/>
  <c r="F471" i="2"/>
  <c r="G471" i="2" s="1"/>
  <c r="H471" i="2" s="1"/>
  <c r="F910" i="2"/>
  <c r="G910" i="2" s="1"/>
  <c r="H910" i="2" s="1"/>
  <c r="F969" i="2"/>
  <c r="G969" i="2" s="1"/>
  <c r="H969" i="2" s="1"/>
  <c r="F719" i="2"/>
  <c r="G719" i="2" s="1"/>
  <c r="H719" i="2" s="1"/>
  <c r="F849" i="2"/>
  <c r="G849" i="2" s="1"/>
  <c r="H849" i="2" s="1"/>
  <c r="F655" i="2"/>
  <c r="G655" i="2" s="1"/>
  <c r="H655" i="2" s="1"/>
  <c r="F516" i="2"/>
  <c r="G516" i="2" s="1"/>
  <c r="H516" i="2" s="1"/>
  <c r="F788" i="2"/>
  <c r="G788" i="2" s="1"/>
  <c r="H788" i="2" s="1"/>
  <c r="F545" i="2"/>
  <c r="G545" i="2" s="1"/>
  <c r="H545" i="2" s="1"/>
  <c r="F927" i="2"/>
  <c r="G927" i="2" s="1"/>
  <c r="H927" i="2" s="1"/>
  <c r="F874" i="2"/>
  <c r="G874" i="2" s="1"/>
  <c r="H874" i="2" s="1"/>
  <c r="F755" i="2"/>
  <c r="G755" i="2" s="1"/>
  <c r="H755" i="2" s="1"/>
  <c r="F923" i="2"/>
  <c r="G923" i="2" s="1"/>
  <c r="H923" i="2" s="1"/>
  <c r="F834" i="2"/>
  <c r="G834" i="2" s="1"/>
  <c r="H834" i="2" s="1"/>
  <c r="F1007" i="2"/>
  <c r="G1007" i="2" s="1"/>
  <c r="H1007" i="2" s="1"/>
  <c r="F809" i="2"/>
  <c r="G809" i="2" s="1"/>
  <c r="H809" i="2" s="1"/>
  <c r="F287" i="2"/>
  <c r="G287" i="2" s="1"/>
  <c r="H287" i="2" s="1"/>
  <c r="F518" i="2"/>
  <c r="G518" i="2" s="1"/>
  <c r="H518" i="2" s="1"/>
  <c r="F162" i="2"/>
  <c r="G162" i="2" s="1"/>
  <c r="H162" i="2" s="1"/>
  <c r="F66" i="2"/>
  <c r="G66" i="2" s="1"/>
  <c r="H66" i="2" s="1"/>
  <c r="F431" i="2"/>
  <c r="G431" i="2" s="1"/>
  <c r="H431" i="2" s="1"/>
  <c r="F232" i="2"/>
  <c r="G232" i="2" s="1"/>
  <c r="H232" i="2" s="1"/>
  <c r="F16" i="2"/>
  <c r="G16" i="2" s="1"/>
  <c r="H16" i="2" s="1"/>
  <c r="F393" i="2"/>
  <c r="G393" i="2" s="1"/>
  <c r="H393" i="2" s="1"/>
  <c r="F121" i="2"/>
  <c r="G121" i="2" s="1"/>
  <c r="H121" i="2" s="1"/>
  <c r="F904" i="2"/>
  <c r="G904" i="2" s="1"/>
  <c r="H904" i="2" s="1"/>
  <c r="F604" i="2"/>
  <c r="G604" i="2" s="1"/>
  <c r="H604" i="2" s="1"/>
  <c r="F341" i="2"/>
  <c r="G341" i="2" s="1"/>
  <c r="H341" i="2" s="1"/>
  <c r="F300" i="2"/>
  <c r="G300" i="2" s="1"/>
  <c r="H300" i="2" s="1"/>
  <c r="F170" i="2"/>
  <c r="G170" i="2" s="1"/>
  <c r="H170" i="2" s="1"/>
  <c r="F148" i="2"/>
  <c r="G148" i="2" s="1"/>
  <c r="H148" i="2" s="1"/>
  <c r="F663" i="2"/>
  <c r="G663" i="2" s="1"/>
  <c r="H663" i="2" s="1"/>
  <c r="F311" i="2"/>
  <c r="G311" i="2" s="1"/>
  <c r="H311" i="2" s="1"/>
  <c r="F180" i="2"/>
  <c r="G180" i="2" s="1"/>
  <c r="H180" i="2" s="1"/>
  <c r="F733" i="2"/>
  <c r="G733" i="2" s="1"/>
  <c r="H733" i="2" s="1"/>
  <c r="F305" i="2"/>
  <c r="G305" i="2" s="1"/>
  <c r="H305" i="2" s="1"/>
  <c r="F836" i="2"/>
  <c r="G836" i="2" s="1"/>
  <c r="H836" i="2" s="1"/>
  <c r="F118" i="2"/>
  <c r="G118" i="2" s="1"/>
  <c r="H118" i="2" s="1"/>
  <c r="F406" i="2"/>
  <c r="G406" i="2" s="1"/>
  <c r="H406" i="2" s="1"/>
  <c r="F919" i="2"/>
  <c r="G919" i="2" s="1"/>
  <c r="H919" i="2" s="1"/>
  <c r="F147" i="2"/>
  <c r="G147" i="2" s="1"/>
  <c r="H147" i="2" s="1"/>
  <c r="F467" i="2"/>
  <c r="G467" i="2" s="1"/>
  <c r="H467" i="2" s="1"/>
  <c r="F20" i="2"/>
  <c r="G20" i="2" s="1"/>
  <c r="H20" i="2" s="1"/>
  <c r="F308" i="2"/>
  <c r="G308" i="2" s="1"/>
  <c r="H308" i="2" s="1"/>
  <c r="F683" i="2"/>
  <c r="G683" i="2" s="1"/>
  <c r="H683" i="2" s="1"/>
  <c r="F658" i="2"/>
  <c r="G658" i="2" s="1"/>
  <c r="H658" i="2" s="1"/>
  <c r="F594" i="2"/>
  <c r="G594" i="2" s="1"/>
  <c r="H594" i="2" s="1"/>
  <c r="F559" i="2"/>
  <c r="G559" i="2" s="1"/>
  <c r="H559" i="2" s="1"/>
  <c r="F855" i="2"/>
  <c r="G855" i="2" s="1"/>
  <c r="H855" i="2" s="1"/>
  <c r="F667" i="2"/>
  <c r="G667" i="2" s="1"/>
  <c r="H667" i="2" s="1"/>
  <c r="F528" i="2"/>
  <c r="G528" i="2" s="1"/>
  <c r="H528" i="2" s="1"/>
  <c r="F815" i="2"/>
  <c r="G815" i="2" s="1"/>
  <c r="H815" i="2" s="1"/>
  <c r="F701" i="2"/>
  <c r="G701" i="2" s="1"/>
  <c r="H701" i="2" s="1"/>
  <c r="F894" i="2"/>
  <c r="G894" i="2" s="1"/>
  <c r="H894" i="2" s="1"/>
  <c r="F943" i="2"/>
  <c r="G943" i="2" s="1"/>
  <c r="H943" i="2" s="1"/>
  <c r="F1010" i="2"/>
  <c r="G1010" i="2" s="1"/>
  <c r="H1010" i="2" s="1"/>
  <c r="F888" i="2"/>
  <c r="G888" i="2" s="1"/>
  <c r="H888" i="2" s="1"/>
  <c r="F821" i="2"/>
  <c r="G821" i="2" s="1"/>
  <c r="H821" i="2" s="1"/>
  <c r="F402" i="2"/>
  <c r="G402" i="2" s="1"/>
  <c r="H402" i="2" s="1"/>
  <c r="F205" i="2"/>
  <c r="G205" i="2" s="1"/>
  <c r="H205" i="2" s="1"/>
  <c r="F628" i="2"/>
  <c r="G628" i="2" s="1"/>
  <c r="H628" i="2" s="1"/>
  <c r="F841" i="2"/>
  <c r="G841" i="2" s="1"/>
  <c r="H841" i="2" s="1"/>
  <c r="F233" i="2"/>
  <c r="G233" i="2" s="1"/>
  <c r="H233" i="2" s="1"/>
  <c r="F109" i="2"/>
  <c r="G109" i="2" s="1"/>
  <c r="H109" i="2" s="1"/>
  <c r="F862" i="2"/>
  <c r="G862" i="2" s="1"/>
  <c r="H862" i="2" s="1"/>
  <c r="F95" i="2"/>
  <c r="G95" i="2" s="1"/>
  <c r="H95" i="2" s="1"/>
  <c r="F379" i="2"/>
  <c r="G379" i="2" s="1"/>
  <c r="H379" i="2" s="1"/>
  <c r="F582" i="2"/>
  <c r="G582" i="2" s="1"/>
  <c r="H582" i="2" s="1"/>
  <c r="F313" i="2"/>
  <c r="G313" i="2" s="1"/>
  <c r="H313" i="2" s="1"/>
  <c r="F328" i="2"/>
  <c r="G328" i="2" s="1"/>
  <c r="H328" i="2" s="1"/>
  <c r="F371" i="2"/>
  <c r="G371" i="2" s="1"/>
  <c r="H371" i="2" s="1"/>
  <c r="F50" i="2"/>
  <c r="G50" i="2" s="1"/>
  <c r="H50" i="2" s="1"/>
  <c r="F338" i="2"/>
  <c r="G338" i="2" s="1"/>
  <c r="H338" i="2" s="1"/>
  <c r="F456" i="2"/>
  <c r="G456" i="2" s="1"/>
  <c r="H456" i="2" s="1"/>
  <c r="F19" i="2"/>
  <c r="G19" i="2" s="1"/>
  <c r="H19" i="2" s="1"/>
  <c r="F217" i="2"/>
  <c r="G217" i="2" s="1"/>
  <c r="H217" i="2" s="1"/>
  <c r="F420" i="2"/>
  <c r="G420" i="2" s="1"/>
  <c r="H420" i="2" s="1"/>
  <c r="F964" i="2"/>
  <c r="G964" i="2" s="1"/>
  <c r="H964" i="2" s="1"/>
  <c r="F271" i="2"/>
  <c r="G271" i="2" s="1"/>
  <c r="H271" i="2" s="1"/>
  <c r="F659" i="2"/>
  <c r="G659" i="2" s="1"/>
  <c r="H659" i="2" s="1"/>
  <c r="F312" i="2"/>
  <c r="G312" i="2" s="1"/>
  <c r="H312" i="2" s="1"/>
  <c r="F355" i="2"/>
  <c r="G355" i="2" s="1"/>
  <c r="H355" i="2" s="1"/>
  <c r="F902" i="2"/>
  <c r="G902" i="2" s="1"/>
  <c r="H902" i="2" s="1"/>
  <c r="F37" i="2"/>
  <c r="G37" i="2" s="1"/>
  <c r="H37" i="2" s="1"/>
  <c r="F325" i="2"/>
  <c r="G325" i="2" s="1"/>
  <c r="H325" i="2" s="1"/>
  <c r="F777" i="2"/>
  <c r="G777" i="2" s="1"/>
  <c r="H777" i="2" s="1"/>
  <c r="F218" i="2"/>
  <c r="G218" i="2" s="1"/>
  <c r="H218" i="2" s="1"/>
  <c r="F637" i="2"/>
  <c r="G637" i="2" s="1"/>
  <c r="H637" i="2" s="1"/>
  <c r="F151" i="2"/>
  <c r="G151" i="2" s="1"/>
  <c r="H151" i="2" s="1"/>
  <c r="F343" i="2"/>
  <c r="G343" i="2" s="1"/>
  <c r="H343" i="2" s="1"/>
  <c r="F707" i="2"/>
  <c r="G707" i="2" s="1"/>
  <c r="H707" i="2" s="1"/>
  <c r="F982" i="2"/>
  <c r="G982" i="2" s="1"/>
  <c r="H982" i="2" s="1"/>
  <c r="F317" i="2"/>
  <c r="G317" i="2" s="1"/>
  <c r="H317" i="2" s="1"/>
  <c r="F30" i="2"/>
  <c r="G30" i="2" s="1"/>
  <c r="H30" i="2" s="1"/>
  <c r="F222" i="2"/>
  <c r="G222" i="2" s="1"/>
  <c r="H222" i="2" s="1"/>
  <c r="F434" i="2"/>
  <c r="G434" i="2" s="1"/>
  <c r="H434" i="2" s="1"/>
  <c r="F780" i="2"/>
  <c r="G780" i="2" s="1"/>
  <c r="H780" i="2" s="1"/>
  <c r="F155" i="2"/>
  <c r="G155" i="2" s="1"/>
  <c r="H155" i="2" s="1"/>
  <c r="F347" i="2"/>
  <c r="G347" i="2" s="1"/>
  <c r="H347" i="2" s="1"/>
  <c r="F511" i="2"/>
  <c r="G511" i="2" s="1"/>
  <c r="H511" i="2" s="1"/>
  <c r="F847" i="2"/>
  <c r="G847" i="2" s="1"/>
  <c r="H847" i="2" s="1"/>
  <c r="F738" i="2"/>
  <c r="G738" i="2" s="1"/>
  <c r="H738" i="2" s="1"/>
  <c r="F130" i="2"/>
  <c r="G130" i="2" s="1"/>
  <c r="H130" i="2" s="1"/>
  <c r="F274" i="2"/>
  <c r="G274" i="2" s="1"/>
  <c r="H274" i="2" s="1"/>
  <c r="F422" i="2"/>
  <c r="G422" i="2" s="1"/>
  <c r="H422" i="2" s="1"/>
  <c r="F598" i="2"/>
  <c r="G598" i="2" s="1"/>
  <c r="H598" i="2" s="1"/>
  <c r="F961" i="2"/>
  <c r="G961" i="2" s="1"/>
  <c r="H961" i="2" s="1"/>
  <c r="F15" i="2"/>
  <c r="G15" i="2" s="1"/>
  <c r="H15" i="2" s="1"/>
  <c r="F159" i="2"/>
  <c r="G159" i="2" s="1"/>
  <c r="H159" i="2" s="1"/>
  <c r="F303" i="2"/>
  <c r="G303" i="2" s="1"/>
  <c r="H303" i="2" s="1"/>
  <c r="F470" i="2"/>
  <c r="G470" i="2" s="1"/>
  <c r="H470" i="2" s="1"/>
  <c r="F776" i="2"/>
  <c r="G776" i="2" s="1"/>
  <c r="H776" i="2" s="1"/>
  <c r="F32" i="2"/>
  <c r="G32" i="2" s="1"/>
  <c r="H32" i="2" s="1"/>
  <c r="F176" i="2"/>
  <c r="G176" i="2" s="1"/>
  <c r="H176" i="2" s="1"/>
  <c r="F320" i="2"/>
  <c r="G320" i="2" s="1"/>
  <c r="H320" i="2" s="1"/>
  <c r="F496" i="2"/>
  <c r="G496" i="2" s="1"/>
  <c r="H496" i="2" s="1"/>
  <c r="F692" i="2"/>
  <c r="G692" i="2" s="1"/>
  <c r="H692" i="2" s="1"/>
  <c r="F495" i="2"/>
  <c r="G495" i="2" s="1"/>
  <c r="H495" i="2" s="1"/>
  <c r="F661" i="2"/>
  <c r="G661" i="2" s="1"/>
  <c r="H661" i="2" s="1"/>
  <c r="F428" i="2"/>
  <c r="G428" i="2" s="1"/>
  <c r="H428" i="2" s="1"/>
  <c r="F597" i="2"/>
  <c r="G597" i="2" s="1"/>
  <c r="H597" i="2" s="1"/>
  <c r="F433" i="2"/>
  <c r="G433" i="2" s="1"/>
  <c r="H433" i="2" s="1"/>
  <c r="F572" i="2"/>
  <c r="G572" i="2" s="1"/>
  <c r="H572" i="2" s="1"/>
  <c r="F739" i="2"/>
  <c r="G739" i="2" s="1"/>
  <c r="H739" i="2" s="1"/>
  <c r="F859" i="2"/>
  <c r="G859" i="2" s="1"/>
  <c r="H859" i="2" s="1"/>
  <c r="F986" i="2"/>
  <c r="G986" i="2" s="1"/>
  <c r="H986" i="2" s="1"/>
  <c r="F679" i="2"/>
  <c r="G679" i="2" s="1"/>
  <c r="H679" i="2" s="1"/>
  <c r="F838" i="2"/>
  <c r="G838" i="2" s="1"/>
  <c r="H838" i="2" s="1"/>
  <c r="F540" i="2"/>
  <c r="G540" i="2" s="1"/>
  <c r="H540" i="2" s="1"/>
  <c r="F684" i="2"/>
  <c r="G684" i="2" s="1"/>
  <c r="H684" i="2" s="1"/>
  <c r="F830" i="2"/>
  <c r="G830" i="2" s="1"/>
  <c r="H830" i="2" s="1"/>
  <c r="F569" i="2"/>
  <c r="G569" i="2" s="1"/>
  <c r="H569" i="2" s="1"/>
  <c r="F713" i="2"/>
  <c r="G713" i="2" s="1"/>
  <c r="H713" i="2" s="1"/>
  <c r="F950" i="2"/>
  <c r="G950" i="2" s="1"/>
  <c r="H950" i="2" s="1"/>
  <c r="F914" i="2"/>
  <c r="G914" i="2" s="1"/>
  <c r="H914" i="2" s="1"/>
  <c r="F779" i="2"/>
  <c r="G779" i="2" s="1"/>
  <c r="H779" i="2" s="1"/>
  <c r="F975" i="2"/>
  <c r="G975" i="2" s="1"/>
  <c r="H975" i="2" s="1"/>
  <c r="F860" i="2"/>
  <c r="G860" i="2" s="1"/>
  <c r="H860" i="2" s="1"/>
  <c r="F955" i="2"/>
  <c r="G955" i="2" s="1"/>
  <c r="H955" i="2" s="1"/>
  <c r="F900" i="2"/>
  <c r="G900" i="2" s="1"/>
  <c r="H900" i="2" s="1"/>
  <c r="F833" i="2"/>
  <c r="G833" i="2" s="1"/>
  <c r="H833" i="2" s="1"/>
  <c r="F977" i="2"/>
  <c r="G977" i="2" s="1"/>
  <c r="H977" i="2" s="1"/>
  <c r="F84" i="2"/>
  <c r="G84" i="2" s="1"/>
  <c r="H84" i="2" s="1"/>
  <c r="F543" i="2"/>
  <c r="G543" i="2" s="1"/>
  <c r="H543" i="2" s="1"/>
  <c r="F401" i="2"/>
  <c r="G401" i="2" s="1"/>
  <c r="H401" i="2" s="1"/>
  <c r="F918" i="2"/>
  <c r="G918" i="2" s="1"/>
  <c r="H918" i="2" s="1"/>
  <c r="F334" i="2"/>
  <c r="G334" i="2" s="1"/>
  <c r="H334" i="2" s="1"/>
  <c r="F721" i="2"/>
  <c r="G721" i="2" s="1"/>
  <c r="H721" i="2" s="1"/>
  <c r="F219" i="2"/>
  <c r="G219" i="2" s="1"/>
  <c r="H219" i="2" s="1"/>
  <c r="F615" i="2"/>
  <c r="G615" i="2" s="1"/>
  <c r="H615" i="2" s="1"/>
  <c r="F236" i="2"/>
  <c r="G236" i="2" s="1"/>
  <c r="H236" i="2" s="1"/>
  <c r="F544" i="2"/>
  <c r="G544" i="2" s="1"/>
  <c r="H544" i="2" s="1"/>
  <c r="F562" i="2"/>
  <c r="G562" i="2" s="1"/>
  <c r="H562" i="2" s="1"/>
  <c r="F690" i="2"/>
  <c r="G690" i="2" s="1"/>
  <c r="H690" i="2" s="1"/>
  <c r="F493" i="2"/>
  <c r="G493" i="2" s="1"/>
  <c r="H493" i="2" s="1"/>
  <c r="F818" i="2"/>
  <c r="G818" i="2" s="1"/>
  <c r="H818" i="2" s="1"/>
  <c r="F737" i="2"/>
  <c r="G737" i="2" s="1"/>
  <c r="H737" i="2" s="1"/>
  <c r="F600" i="2"/>
  <c r="G600" i="2" s="1"/>
  <c r="H600" i="2" s="1"/>
  <c r="F934" i="2"/>
  <c r="G934" i="2" s="1"/>
  <c r="H934" i="2" s="1"/>
  <c r="F823" i="2"/>
  <c r="G823" i="2" s="1"/>
  <c r="H823" i="2" s="1"/>
  <c r="F851" i="2"/>
  <c r="G851" i="2" s="1"/>
  <c r="H851" i="2" s="1"/>
  <c r="F960" i="2"/>
  <c r="G960" i="2" s="1"/>
  <c r="H960" i="2" s="1"/>
  <c r="F105" i="2"/>
  <c r="G105" i="2" s="1"/>
  <c r="H105" i="2" s="1"/>
  <c r="F383" i="2"/>
  <c r="G383" i="2" s="1"/>
  <c r="H383" i="2" s="1"/>
  <c r="F542" i="2"/>
  <c r="G542" i="2" s="1"/>
  <c r="H542" i="2" s="1"/>
  <c r="F86" i="2"/>
  <c r="G86" i="2" s="1"/>
  <c r="H86" i="2" s="1"/>
  <c r="F35" i="2"/>
  <c r="G35" i="2" s="1"/>
  <c r="H35" i="2" s="1"/>
  <c r="F736" i="2"/>
  <c r="G736" i="2" s="1"/>
  <c r="H736" i="2" s="1"/>
  <c r="F590" i="2"/>
  <c r="G590" i="2" s="1"/>
  <c r="H590" i="2" s="1"/>
  <c r="F127" i="2"/>
  <c r="G127" i="2" s="1"/>
  <c r="H127" i="2" s="1"/>
  <c r="F149" i="2"/>
  <c r="G149" i="2" s="1"/>
  <c r="H149" i="2" s="1"/>
  <c r="F181" i="2"/>
  <c r="G181" i="2" s="1"/>
  <c r="H181" i="2" s="1"/>
  <c r="F23" i="2"/>
  <c r="G23" i="2" s="1"/>
  <c r="H23" i="2" s="1"/>
  <c r="F247" i="2"/>
  <c r="G247" i="2" s="1"/>
  <c r="H247" i="2" s="1"/>
  <c r="F167" i="2"/>
  <c r="G167" i="2" s="1"/>
  <c r="H167" i="2" s="1"/>
  <c r="F126" i="2"/>
  <c r="G126" i="2" s="1"/>
  <c r="H126" i="2" s="1"/>
  <c r="F59" i="2"/>
  <c r="G59" i="2" s="1"/>
  <c r="H59" i="2" s="1"/>
  <c r="F625" i="2"/>
  <c r="G625" i="2" s="1"/>
  <c r="H625" i="2" s="1"/>
  <c r="F58" i="2"/>
  <c r="G58" i="2" s="1"/>
  <c r="H58" i="2" s="1"/>
  <c r="F492" i="2"/>
  <c r="G492" i="2" s="1"/>
  <c r="H492" i="2" s="1"/>
  <c r="F87" i="2"/>
  <c r="G87" i="2" s="1"/>
  <c r="H87" i="2" s="1"/>
  <c r="F375" i="2"/>
  <c r="G375" i="2" s="1"/>
  <c r="H375" i="2" s="1"/>
  <c r="F104" i="2"/>
  <c r="G104" i="2" s="1"/>
  <c r="H104" i="2" s="1"/>
  <c r="F392" i="2"/>
  <c r="G392" i="2" s="1"/>
  <c r="H392" i="2" s="1"/>
  <c r="F565" i="2"/>
  <c r="G565" i="2" s="1"/>
  <c r="H565" i="2" s="1"/>
  <c r="F500" i="2"/>
  <c r="G500" i="2" s="1"/>
  <c r="H500" i="2" s="1"/>
  <c r="F505" i="2"/>
  <c r="G505" i="2" s="1"/>
  <c r="H505" i="2" s="1"/>
  <c r="F901" i="2"/>
  <c r="G901" i="2" s="1"/>
  <c r="H901" i="2" s="1"/>
  <c r="F945" i="2"/>
  <c r="G945" i="2" s="1"/>
  <c r="H945" i="2" s="1"/>
  <c r="F746" i="2"/>
  <c r="G746" i="2" s="1"/>
  <c r="H746" i="2" s="1"/>
  <c r="F641" i="2"/>
  <c r="G641" i="2" s="1"/>
  <c r="H641" i="2" s="1"/>
  <c r="F822" i="2"/>
  <c r="G822" i="2" s="1"/>
  <c r="H822" i="2" s="1"/>
  <c r="F972" i="2"/>
  <c r="G972" i="2" s="1"/>
  <c r="H972" i="2" s="1"/>
  <c r="F608" i="2"/>
  <c r="G608" i="2" s="1"/>
  <c r="H608" i="2" s="1"/>
  <c r="F378" i="2"/>
  <c r="G378" i="2" s="1"/>
  <c r="H378" i="2" s="1"/>
  <c r="F40" i="2"/>
  <c r="G40" i="2" s="1"/>
  <c r="H40" i="2" s="1"/>
  <c r="F208" i="2"/>
  <c r="G208" i="2" s="1"/>
  <c r="H208" i="2" s="1"/>
  <c r="F883" i="2"/>
  <c r="G883" i="2" s="1"/>
  <c r="H883" i="2" s="1"/>
  <c r="F497" i="2"/>
  <c r="G497" i="2" s="1"/>
  <c r="H497" i="2" s="1"/>
  <c r="F204" i="2"/>
  <c r="G204" i="2" s="1"/>
  <c r="H204" i="2" s="1"/>
  <c r="F463" i="2"/>
  <c r="G463" i="2" s="1"/>
  <c r="H463" i="2" s="1"/>
  <c r="F554" i="2"/>
  <c r="G554" i="2" s="1"/>
  <c r="H554" i="2" s="1"/>
  <c r="F173" i="2"/>
  <c r="G173" i="2" s="1"/>
  <c r="H173" i="2" s="1"/>
  <c r="F321" i="2"/>
  <c r="G321" i="2" s="1"/>
  <c r="H321" i="2" s="1"/>
  <c r="F254" i="2"/>
  <c r="G254" i="2" s="1"/>
  <c r="H254" i="2" s="1"/>
  <c r="F973" i="2"/>
  <c r="G973" i="2" s="1"/>
  <c r="H973" i="2" s="1"/>
  <c r="F358" i="2"/>
  <c r="G358" i="2" s="1"/>
  <c r="H358" i="2" s="1"/>
  <c r="F817" i="2"/>
  <c r="G817" i="2" s="1"/>
  <c r="H817" i="2" s="1"/>
  <c r="F387" i="2"/>
  <c r="G387" i="2" s="1"/>
  <c r="H387" i="2" s="1"/>
  <c r="F116" i="2"/>
  <c r="G116" i="2" s="1"/>
  <c r="H116" i="2" s="1"/>
  <c r="F602" i="2"/>
  <c r="G602" i="2" s="1"/>
  <c r="H602" i="2" s="1"/>
  <c r="F758" i="2"/>
  <c r="G758" i="2" s="1"/>
  <c r="H758" i="2" s="1"/>
  <c r="F510" i="2"/>
  <c r="G510" i="2" s="1"/>
  <c r="H510" i="2" s="1"/>
  <c r="F916" i="2"/>
  <c r="G916" i="2" s="1"/>
  <c r="H916" i="2" s="1"/>
  <c r="F958" i="2"/>
  <c r="G958" i="2" s="1"/>
  <c r="H958" i="2" s="1"/>
  <c r="F766" i="2"/>
  <c r="G766" i="2" s="1"/>
  <c r="H766" i="2" s="1"/>
  <c r="F865" i="2"/>
  <c r="G865" i="2" s="1"/>
  <c r="H865" i="2" s="1"/>
  <c r="F842" i="2"/>
  <c r="G842" i="2" s="1"/>
  <c r="H842" i="2" s="1"/>
  <c r="F997" i="2"/>
  <c r="G997" i="2" s="1"/>
  <c r="H997" i="2" s="1"/>
  <c r="F877" i="2"/>
  <c r="G877" i="2" s="1"/>
  <c r="H877" i="2" s="1"/>
  <c r="F796" i="2"/>
  <c r="G796" i="2" s="1"/>
  <c r="H796" i="2" s="1"/>
  <c r="F959" i="2"/>
  <c r="G959" i="2" s="1"/>
  <c r="H959" i="2" s="1"/>
  <c r="F984" i="2"/>
  <c r="G984" i="2" s="1"/>
  <c r="H984" i="2" s="1"/>
  <c r="F137" i="2"/>
  <c r="G137" i="2" s="1"/>
  <c r="H137" i="2" s="1"/>
  <c r="F301" i="2"/>
  <c r="G301" i="2" s="1"/>
  <c r="H301" i="2" s="1"/>
  <c r="F134" i="2"/>
  <c r="G134" i="2" s="1"/>
  <c r="H134" i="2" s="1"/>
  <c r="F678" i="2"/>
  <c r="G678" i="2" s="1"/>
  <c r="H678" i="2" s="1"/>
  <c r="F48" i="2"/>
  <c r="G48" i="2" s="1"/>
  <c r="H48" i="2" s="1"/>
  <c r="F479" i="2"/>
  <c r="G479" i="2" s="1"/>
  <c r="H479" i="2" s="1"/>
  <c r="F192" i="2"/>
  <c r="G192" i="2" s="1"/>
  <c r="H192" i="2" s="1"/>
  <c r="F74" i="2"/>
  <c r="G74" i="2" s="1"/>
  <c r="H74" i="2" s="1"/>
  <c r="F566" i="2"/>
  <c r="G566" i="2" s="1"/>
  <c r="H566" i="2" s="1"/>
  <c r="F132" i="2"/>
  <c r="G132" i="2" s="1"/>
  <c r="H132" i="2" s="1"/>
  <c r="F65" i="2"/>
  <c r="G65" i="2" s="1"/>
  <c r="H65" i="2" s="1"/>
  <c r="F676" i="2"/>
  <c r="G676" i="2" s="1"/>
  <c r="H676" i="2" s="1"/>
  <c r="F370" i="2"/>
  <c r="G370" i="2" s="1"/>
  <c r="H370" i="2" s="1"/>
  <c r="F759" i="2"/>
  <c r="G759" i="2" s="1"/>
  <c r="H759" i="2" s="1"/>
  <c r="F399" i="2"/>
  <c r="G399" i="2" s="1"/>
  <c r="H399" i="2" s="1"/>
  <c r="F128" i="2"/>
  <c r="G128" i="2" s="1"/>
  <c r="H128" i="2" s="1"/>
  <c r="F611" i="2"/>
  <c r="G611" i="2" s="1"/>
  <c r="H611" i="2" s="1"/>
  <c r="F536" i="2"/>
  <c r="G536" i="2" s="1"/>
  <c r="H536" i="2" s="1"/>
  <c r="F839" i="2"/>
  <c r="G839" i="2" s="1"/>
  <c r="H839" i="2" s="1"/>
  <c r="F988" i="2"/>
  <c r="G988" i="2" s="1"/>
  <c r="H988" i="2" s="1"/>
  <c r="F963" i="2"/>
  <c r="G963" i="2" s="1"/>
  <c r="H963" i="2" s="1"/>
  <c r="F848" i="2"/>
  <c r="G848" i="2" s="1"/>
  <c r="H848" i="2" s="1"/>
  <c r="F808" i="2"/>
  <c r="G808" i="2" s="1"/>
  <c r="H808" i="2" s="1"/>
  <c r="F929" i="2"/>
  <c r="G929" i="2" s="1"/>
  <c r="H929" i="2" s="1"/>
  <c r="F18" i="2"/>
  <c r="G18" i="2" s="1"/>
  <c r="H18" i="2" s="1"/>
  <c r="F596" i="2"/>
  <c r="G596" i="2" s="1"/>
  <c r="H596" i="2" s="1"/>
  <c r="F587" i="2"/>
  <c r="G587" i="2" s="1"/>
  <c r="H587" i="2" s="1"/>
  <c r="F550" i="2"/>
  <c r="G550" i="2" s="1"/>
  <c r="H550" i="2" s="1"/>
  <c r="F264" i="2"/>
  <c r="G264" i="2" s="1"/>
  <c r="H264" i="2" s="1"/>
  <c r="F136" i="2"/>
  <c r="G136" i="2" s="1"/>
  <c r="H136" i="2" s="1"/>
  <c r="F711" i="2"/>
  <c r="G711" i="2" s="1"/>
  <c r="H711" i="2" s="1"/>
  <c r="F297" i="2"/>
  <c r="G297" i="2" s="1"/>
  <c r="H297" i="2" s="1"/>
  <c r="F246" i="2"/>
  <c r="G246" i="2" s="1"/>
  <c r="H246" i="2" s="1"/>
  <c r="F189" i="2"/>
  <c r="G189" i="2" s="1"/>
  <c r="H189" i="2" s="1"/>
  <c r="F293" i="2"/>
  <c r="G293" i="2" s="1"/>
  <c r="H293" i="2" s="1"/>
  <c r="F288" i="2"/>
  <c r="G288" i="2" s="1"/>
  <c r="H288" i="2" s="1"/>
  <c r="F647" i="2"/>
  <c r="G647" i="2" s="1"/>
  <c r="H647" i="2" s="1"/>
  <c r="F477" i="2"/>
  <c r="G477" i="2" s="1"/>
  <c r="H477" i="2" s="1"/>
  <c r="F573" i="2"/>
  <c r="G573" i="2" s="1"/>
  <c r="H573" i="2" s="1"/>
  <c r="F221" i="2"/>
  <c r="G221" i="2" s="1"/>
  <c r="H221" i="2" s="1"/>
  <c r="F366" i="2"/>
  <c r="G366" i="2" s="1"/>
  <c r="H366" i="2" s="1"/>
  <c r="F107" i="2"/>
  <c r="G107" i="2" s="1"/>
  <c r="H107" i="2" s="1"/>
  <c r="F797" i="2"/>
  <c r="G797" i="2" s="1"/>
  <c r="H797" i="2" s="1"/>
  <c r="F94" i="2"/>
  <c r="G94" i="2" s="1"/>
  <c r="H94" i="2" s="1"/>
  <c r="F382" i="2"/>
  <c r="G382" i="2" s="1"/>
  <c r="H382" i="2" s="1"/>
  <c r="F891" i="2"/>
  <c r="G891" i="2" s="1"/>
  <c r="H891" i="2" s="1"/>
  <c r="F267" i="2"/>
  <c r="G267" i="2" s="1"/>
  <c r="H267" i="2" s="1"/>
  <c r="F717" i="2"/>
  <c r="G717" i="2" s="1"/>
  <c r="H717" i="2" s="1"/>
  <c r="F140" i="2"/>
  <c r="G140" i="2" s="1"/>
  <c r="H140" i="2" s="1"/>
  <c r="F448" i="2"/>
  <c r="G448" i="2" s="1"/>
  <c r="H448" i="2" s="1"/>
  <c r="F613" i="2"/>
  <c r="G613" i="2" s="1"/>
  <c r="H613" i="2" s="1"/>
  <c r="F556" i="2"/>
  <c r="G556" i="2" s="1"/>
  <c r="H556" i="2" s="1"/>
  <c r="F531" i="2"/>
  <c r="G531" i="2" s="1"/>
  <c r="H531" i="2" s="1"/>
  <c r="F844" i="2"/>
  <c r="G844" i="2" s="1"/>
  <c r="H844" i="2" s="1"/>
  <c r="F643" i="2"/>
  <c r="G643" i="2" s="1"/>
  <c r="H643" i="2" s="1"/>
  <c r="F1009" i="2"/>
  <c r="G1009" i="2" s="1"/>
  <c r="H1009" i="2" s="1"/>
  <c r="F785" i="2"/>
  <c r="G785" i="2" s="1"/>
  <c r="H785" i="2" s="1"/>
  <c r="F677" i="2"/>
  <c r="G677" i="2" s="1"/>
  <c r="H677" i="2" s="1"/>
  <c r="F868" i="2"/>
  <c r="G868" i="2" s="1"/>
  <c r="H868" i="2" s="1"/>
  <c r="F903" i="2"/>
  <c r="G903" i="2" s="1"/>
  <c r="H903" i="2" s="1"/>
  <c r="F1004" i="2"/>
  <c r="G1004" i="2" s="1"/>
  <c r="H1004" i="2" s="1"/>
  <c r="F1008" i="2"/>
  <c r="G1008" i="2" s="1"/>
  <c r="H1008" i="2" s="1"/>
  <c r="F157" i="2"/>
  <c r="G157" i="2" s="1"/>
  <c r="H157" i="2" s="1"/>
  <c r="F436" i="2"/>
  <c r="G436" i="2" s="1"/>
  <c r="H436" i="2" s="1"/>
  <c r="F364" i="2"/>
  <c r="G364" i="2" s="1"/>
  <c r="H364" i="2" s="1"/>
  <c r="F417" i="2"/>
  <c r="G417" i="2" s="1"/>
  <c r="H417" i="2" s="1"/>
  <c r="F843" i="2"/>
  <c r="G843" i="2" s="1"/>
  <c r="H843" i="2" s="1"/>
  <c r="F150" i="2"/>
  <c r="G150" i="2" s="1"/>
  <c r="H150" i="2" s="1"/>
  <c r="F745" i="2"/>
  <c r="G745" i="2" s="1"/>
  <c r="H745" i="2" s="1"/>
  <c r="F345" i="2"/>
  <c r="G345" i="2" s="1"/>
  <c r="H345" i="2" s="1"/>
  <c r="F96" i="2"/>
  <c r="G96" i="2" s="1"/>
  <c r="H96" i="2" s="1"/>
  <c r="F323" i="2"/>
  <c r="G323" i="2" s="1"/>
  <c r="H323" i="2" s="1"/>
  <c r="F524" i="2"/>
  <c r="G524" i="2" s="1"/>
  <c r="H524" i="2" s="1"/>
  <c r="F307" i="2"/>
  <c r="G307" i="2" s="1"/>
  <c r="H307" i="2" s="1"/>
  <c r="F213" i="2"/>
  <c r="G213" i="2" s="1"/>
  <c r="H213" i="2" s="1"/>
  <c r="F680" i="2"/>
  <c r="G680" i="2" s="1"/>
  <c r="H680" i="2" s="1"/>
  <c r="F537" i="2"/>
  <c r="G537" i="2" s="1"/>
  <c r="H537" i="2" s="1"/>
  <c r="F337" i="2"/>
  <c r="G337" i="2" s="1"/>
  <c r="H337" i="2" s="1"/>
  <c r="F937" i="2"/>
  <c r="G937" i="2" s="1"/>
  <c r="H937" i="2" s="1"/>
  <c r="F177" i="2"/>
  <c r="G177" i="2" s="1"/>
  <c r="H177" i="2" s="1"/>
  <c r="F682" i="2"/>
  <c r="G682" i="2" s="1"/>
  <c r="H682" i="2" s="1"/>
  <c r="F302" i="2"/>
  <c r="G302" i="2" s="1"/>
  <c r="H302" i="2" s="1"/>
  <c r="F827" i="2"/>
  <c r="G827" i="2" s="1"/>
  <c r="H827" i="2" s="1"/>
  <c r="F106" i="2"/>
  <c r="G106" i="2" s="1"/>
  <c r="H106" i="2" s="1"/>
  <c r="F394" i="2"/>
  <c r="G394" i="2" s="1"/>
  <c r="H394" i="2" s="1"/>
  <c r="F878" i="2"/>
  <c r="G878" i="2" s="1"/>
  <c r="H878" i="2" s="1"/>
  <c r="F135" i="2"/>
  <c r="G135" i="2" s="1"/>
  <c r="H135" i="2" s="1"/>
  <c r="F425" i="2"/>
  <c r="G425" i="2" s="1"/>
  <c r="H425" i="2" s="1"/>
  <c r="F704" i="2"/>
  <c r="G704" i="2" s="1"/>
  <c r="H704" i="2" s="1"/>
  <c r="F296" i="2"/>
  <c r="G296" i="2" s="1"/>
  <c r="H296" i="2" s="1"/>
  <c r="F662" i="2"/>
  <c r="G662" i="2" s="1"/>
  <c r="H662" i="2" s="1"/>
  <c r="F616" i="2"/>
  <c r="G616" i="2" s="1"/>
  <c r="H616" i="2" s="1"/>
  <c r="F591" i="2"/>
  <c r="G591" i="2" s="1"/>
  <c r="H591" i="2" s="1"/>
  <c r="F539" i="2"/>
  <c r="G539" i="2" s="1"/>
  <c r="H539" i="2" s="1"/>
  <c r="F947" i="2"/>
  <c r="G947" i="2" s="1"/>
  <c r="H947" i="2" s="1"/>
  <c r="F807" i="2"/>
  <c r="G807" i="2" s="1"/>
  <c r="H807" i="2" s="1"/>
  <c r="F660" i="2"/>
  <c r="G660" i="2" s="1"/>
  <c r="H660" i="2" s="1"/>
  <c r="F689" i="2"/>
  <c r="G689" i="2" s="1"/>
  <c r="H689" i="2" s="1"/>
  <c r="F953" i="2"/>
  <c r="G953" i="2" s="1"/>
  <c r="H953" i="2" s="1"/>
  <c r="F61" i="2"/>
  <c r="G61" i="2" s="1"/>
  <c r="H61" i="2" s="1"/>
  <c r="F724" i="2"/>
  <c r="G724" i="2" s="1"/>
  <c r="H724" i="2" s="1"/>
  <c r="F558" i="2"/>
  <c r="G558" i="2" s="1"/>
  <c r="H558" i="2" s="1"/>
  <c r="F331" i="2"/>
  <c r="G331" i="2" s="1"/>
  <c r="H331" i="2" s="1"/>
  <c r="F169" i="2"/>
  <c r="G169" i="2" s="1"/>
  <c r="H169" i="2" s="1"/>
  <c r="F357" i="2"/>
  <c r="G357" i="2" s="1"/>
  <c r="H357" i="2" s="1"/>
  <c r="F304" i="2"/>
  <c r="G304" i="2" s="1"/>
  <c r="H304" i="2" s="1"/>
  <c r="F863" i="2"/>
  <c r="G863" i="2" s="1"/>
  <c r="H863" i="2" s="1"/>
  <c r="F390" i="2"/>
  <c r="G390" i="2" s="1"/>
  <c r="H390" i="2" s="1"/>
  <c r="F237" i="2"/>
  <c r="G237" i="2" s="1"/>
  <c r="H237" i="2" s="1"/>
  <c r="F230" i="2"/>
  <c r="G230" i="2" s="1"/>
  <c r="H230" i="2" s="1"/>
  <c r="F437" i="2"/>
  <c r="G437" i="2" s="1"/>
  <c r="H437" i="2" s="1"/>
  <c r="F751" i="2"/>
  <c r="G751" i="2" s="1"/>
  <c r="H751" i="2" s="1"/>
  <c r="F586" i="2"/>
  <c r="G586" i="2" s="1"/>
  <c r="H586" i="2" s="1"/>
  <c r="F340" i="2"/>
  <c r="G340" i="2" s="1"/>
  <c r="H340" i="2" s="1"/>
  <c r="F699" i="2"/>
  <c r="G699" i="2" s="1"/>
  <c r="H699" i="2" s="1"/>
  <c r="F11" i="2"/>
  <c r="G11" i="2" s="1"/>
  <c r="F372" i="2"/>
  <c r="G372" i="2" s="1"/>
  <c r="H372" i="2" s="1"/>
  <c r="F113" i="2"/>
  <c r="G113" i="2" s="1"/>
  <c r="H113" i="2" s="1"/>
  <c r="F482" i="2"/>
  <c r="G482" i="2" s="1"/>
  <c r="H482" i="2" s="1"/>
  <c r="F644" i="2"/>
  <c r="G644" i="2" s="1"/>
  <c r="H644" i="2" s="1"/>
  <c r="F262" i="2"/>
  <c r="G262" i="2" s="1"/>
  <c r="H262" i="2" s="1"/>
  <c r="F589" i="2"/>
  <c r="G589" i="2" s="1"/>
  <c r="H589" i="2" s="1"/>
  <c r="F983" i="2"/>
  <c r="G983" i="2" s="1"/>
  <c r="H983" i="2" s="1"/>
  <c r="F291" i="2"/>
  <c r="G291" i="2" s="1"/>
  <c r="H291" i="2" s="1"/>
  <c r="F734" i="2"/>
  <c r="G734" i="2" s="1"/>
  <c r="H734" i="2" s="1"/>
  <c r="F164" i="2"/>
  <c r="G164" i="2" s="1"/>
  <c r="H164" i="2" s="1"/>
  <c r="F454" i="2"/>
  <c r="G454" i="2" s="1"/>
  <c r="H454" i="2" s="1"/>
  <c r="F483" i="2"/>
  <c r="G483" i="2" s="1"/>
  <c r="H483" i="2" s="1"/>
  <c r="F925" i="2"/>
  <c r="G925" i="2" s="1"/>
  <c r="H925" i="2" s="1"/>
  <c r="F421" i="2"/>
  <c r="G421" i="2" s="1"/>
  <c r="H421" i="2" s="1"/>
  <c r="F722" i="2"/>
  <c r="G722" i="2" s="1"/>
  <c r="H722" i="2" s="1"/>
  <c r="F974" i="2"/>
  <c r="G974" i="2" s="1"/>
  <c r="H974" i="2" s="1"/>
  <c r="F811" i="2"/>
  <c r="G811" i="2" s="1"/>
  <c r="H811" i="2" s="1"/>
  <c r="F672" i="2"/>
  <c r="G672" i="2" s="1"/>
  <c r="H672" i="2" s="1"/>
  <c r="F557" i="2"/>
  <c r="G557" i="2" s="1"/>
  <c r="H557" i="2" s="1"/>
  <c r="F942" i="2"/>
  <c r="G942" i="2" s="1"/>
  <c r="H942" i="2" s="1"/>
  <c r="F767" i="2"/>
  <c r="G767" i="2" s="1"/>
  <c r="H767" i="2" s="1"/>
  <c r="F854" i="2"/>
  <c r="G854" i="2" s="1"/>
  <c r="H854" i="2" s="1"/>
  <c r="F965" i="2"/>
  <c r="G965" i="2" s="1"/>
  <c r="H965" i="2" s="1"/>
  <c r="F503" i="2"/>
  <c r="G503" i="2" s="1"/>
  <c r="H503" i="2" s="1"/>
  <c r="F429" i="2"/>
  <c r="G429" i="2" s="1"/>
  <c r="H429" i="2" s="1"/>
  <c r="F551" i="2"/>
  <c r="G551" i="2" s="1"/>
  <c r="H551" i="2" s="1"/>
  <c r="F143" i="2"/>
  <c r="G143" i="2" s="1"/>
  <c r="H143" i="2" s="1"/>
  <c r="F541" i="2"/>
  <c r="G541" i="2" s="1"/>
  <c r="H541" i="2" s="1"/>
  <c r="F253" i="2"/>
  <c r="G253" i="2" s="1"/>
  <c r="H253" i="2" s="1"/>
  <c r="F89" i="2"/>
  <c r="G89" i="2" s="1"/>
  <c r="H89" i="2" s="1"/>
  <c r="F239" i="2"/>
  <c r="G239" i="2" s="1"/>
  <c r="H239" i="2" s="1"/>
  <c r="F570" i="2"/>
  <c r="G570" i="2" s="1"/>
  <c r="H570" i="2" s="1"/>
  <c r="F729" i="2"/>
  <c r="G729" i="2" s="1"/>
  <c r="H729" i="2" s="1"/>
  <c r="F384" i="2"/>
  <c r="G384" i="2" s="1"/>
  <c r="H384" i="2" s="1"/>
  <c r="F342" i="2"/>
  <c r="G342" i="2" s="1"/>
  <c r="H342" i="2" s="1"/>
  <c r="F405" i="2"/>
  <c r="G405" i="2" s="1"/>
  <c r="H405" i="2" s="1"/>
  <c r="F64" i="2"/>
  <c r="G64" i="2" s="1"/>
  <c r="H64" i="2" s="1"/>
  <c r="F352" i="2"/>
  <c r="G352" i="2" s="1"/>
  <c r="H352" i="2" s="1"/>
  <c r="F561" i="2"/>
  <c r="G561" i="2" s="1"/>
  <c r="H561" i="2" s="1"/>
  <c r="F67" i="2"/>
  <c r="G67" i="2" s="1"/>
  <c r="H67" i="2" s="1"/>
  <c r="F240" i="2"/>
  <c r="G240" i="2" s="1"/>
  <c r="H240" i="2" s="1"/>
  <c r="F465" i="2"/>
  <c r="G465" i="2" s="1"/>
  <c r="H465" i="2" s="1"/>
  <c r="F999" i="2"/>
  <c r="G999" i="2" s="1"/>
  <c r="H999" i="2" s="1"/>
  <c r="F285" i="2"/>
  <c r="G285" i="2" s="1"/>
  <c r="H285" i="2" s="1"/>
  <c r="F761" i="2"/>
  <c r="G761" i="2" s="1"/>
  <c r="H761" i="2" s="1"/>
  <c r="F326" i="2"/>
  <c r="G326" i="2" s="1"/>
  <c r="H326" i="2" s="1"/>
  <c r="F419" i="2"/>
  <c r="G419" i="2" s="1"/>
  <c r="H419" i="2" s="1"/>
  <c r="F922" i="2"/>
  <c r="G922" i="2" s="1"/>
  <c r="H922" i="2" s="1"/>
  <c r="F60" i="2"/>
  <c r="G60" i="2" s="1"/>
  <c r="H60" i="2" s="1"/>
  <c r="F348" i="2"/>
  <c r="G348" i="2" s="1"/>
  <c r="H348" i="2" s="1"/>
  <c r="F792" i="2"/>
  <c r="G792" i="2" s="1"/>
  <c r="H792" i="2" s="1"/>
  <c r="F263" i="2"/>
  <c r="G263" i="2" s="1"/>
  <c r="H263" i="2" s="1"/>
  <c r="F681" i="2"/>
  <c r="G681" i="2" s="1"/>
  <c r="H681" i="2" s="1"/>
  <c r="F193" i="2"/>
  <c r="G193" i="2" s="1"/>
  <c r="H193" i="2" s="1"/>
  <c r="F385" i="2"/>
  <c r="G385" i="2" s="1"/>
  <c r="H385" i="2" s="1"/>
  <c r="F714" i="2"/>
  <c r="G714" i="2" s="1"/>
  <c r="H714" i="2" s="1"/>
  <c r="F990" i="2"/>
  <c r="G990" i="2" s="1"/>
  <c r="H990" i="2" s="1"/>
  <c r="F359" i="2"/>
  <c r="G359" i="2" s="1"/>
  <c r="H359" i="2" s="1"/>
  <c r="F33" i="2"/>
  <c r="G33" i="2" s="1"/>
  <c r="H33" i="2" s="1"/>
  <c r="F225" i="2"/>
  <c r="G225" i="2" s="1"/>
  <c r="H225" i="2" s="1"/>
  <c r="F443" i="2"/>
  <c r="G443" i="2" s="1"/>
  <c r="H443" i="2" s="1"/>
  <c r="F995" i="2"/>
  <c r="G995" i="2" s="1"/>
  <c r="H995" i="2" s="1"/>
  <c r="F158" i="2"/>
  <c r="G158" i="2" s="1"/>
  <c r="H158" i="2" s="1"/>
  <c r="F350" i="2"/>
  <c r="G350" i="2" s="1"/>
  <c r="H350" i="2" s="1"/>
  <c r="F532" i="2"/>
  <c r="G532" i="2" s="1"/>
  <c r="H532" i="2" s="1"/>
  <c r="F856" i="2"/>
  <c r="G856" i="2" s="1"/>
  <c r="H856" i="2" s="1"/>
  <c r="F764" i="2"/>
  <c r="G764" i="2" s="1"/>
  <c r="H764" i="2" s="1"/>
  <c r="F142" i="2"/>
  <c r="G142" i="2" s="1"/>
  <c r="H142" i="2" s="1"/>
  <c r="F286" i="2"/>
  <c r="G286" i="2" s="1"/>
  <c r="H286" i="2" s="1"/>
  <c r="F438" i="2"/>
  <c r="G438" i="2" s="1"/>
  <c r="H438" i="2" s="1"/>
  <c r="F640" i="2"/>
  <c r="G640" i="2" s="1"/>
  <c r="H640" i="2" s="1"/>
  <c r="F970" i="2"/>
  <c r="G970" i="2" s="1"/>
  <c r="H970" i="2" s="1"/>
  <c r="F27" i="2"/>
  <c r="G27" i="2" s="1"/>
  <c r="H27" i="2" s="1"/>
  <c r="F171" i="2"/>
  <c r="G171" i="2" s="1"/>
  <c r="H171" i="2" s="1"/>
  <c r="F315" i="2"/>
  <c r="G315" i="2" s="1"/>
  <c r="H315" i="2" s="1"/>
  <c r="F473" i="2"/>
  <c r="G473" i="2" s="1"/>
  <c r="H473" i="2" s="1"/>
  <c r="F810" i="2"/>
  <c r="G810" i="2" s="1"/>
  <c r="H810" i="2" s="1"/>
  <c r="F44" i="2"/>
  <c r="G44" i="2" s="1"/>
  <c r="H44" i="2" s="1"/>
  <c r="F188" i="2"/>
  <c r="G188" i="2" s="1"/>
  <c r="H188" i="2" s="1"/>
  <c r="F332" i="2"/>
  <c r="G332" i="2" s="1"/>
  <c r="H332" i="2" s="1"/>
  <c r="F499" i="2"/>
  <c r="G499" i="2" s="1"/>
  <c r="H499" i="2" s="1"/>
  <c r="F765" i="2"/>
  <c r="G765" i="2" s="1"/>
  <c r="H765" i="2" s="1"/>
  <c r="F507" i="2"/>
  <c r="G507" i="2" s="1"/>
  <c r="H507" i="2" s="1"/>
  <c r="F664" i="2"/>
  <c r="G664" i="2" s="1"/>
  <c r="H664" i="2" s="1"/>
  <c r="F440" i="2"/>
  <c r="G440" i="2" s="1"/>
  <c r="H440" i="2" s="1"/>
  <c r="F639" i="2"/>
  <c r="G639" i="2" s="1"/>
  <c r="H639" i="2" s="1"/>
  <c r="F445" i="2"/>
  <c r="G445" i="2" s="1"/>
  <c r="H445" i="2" s="1"/>
  <c r="F575" i="2"/>
  <c r="G575" i="2" s="1"/>
  <c r="H575" i="2" s="1"/>
  <c r="F754" i="2"/>
  <c r="G754" i="2" s="1"/>
  <c r="H754" i="2" s="1"/>
  <c r="F870" i="2"/>
  <c r="G870" i="2" s="1"/>
  <c r="H870" i="2" s="1"/>
  <c r="F992" i="2"/>
  <c r="G992" i="2" s="1"/>
  <c r="H992" i="2" s="1"/>
  <c r="F691" i="2"/>
  <c r="G691" i="2" s="1"/>
  <c r="H691" i="2" s="1"/>
  <c r="F853" i="2"/>
  <c r="G853" i="2" s="1"/>
  <c r="H853" i="2" s="1"/>
  <c r="F552" i="2"/>
  <c r="G552" i="2" s="1"/>
  <c r="H552" i="2" s="1"/>
  <c r="F696" i="2"/>
  <c r="G696" i="2" s="1"/>
  <c r="H696" i="2" s="1"/>
  <c r="F846" i="2"/>
  <c r="G846" i="2" s="1"/>
  <c r="H846" i="2" s="1"/>
  <c r="F581" i="2"/>
  <c r="G581" i="2" s="1"/>
  <c r="H581" i="2" s="1"/>
  <c r="F725" i="2"/>
  <c r="G725" i="2" s="1"/>
  <c r="H725" i="2" s="1"/>
  <c r="F971" i="2"/>
  <c r="G971" i="2" s="1"/>
  <c r="H971" i="2" s="1"/>
  <c r="F920" i="2"/>
  <c r="G920" i="2" s="1"/>
  <c r="H920" i="2" s="1"/>
  <c r="F791" i="2"/>
  <c r="G791" i="2" s="1"/>
  <c r="H791" i="2" s="1"/>
  <c r="F978" i="2"/>
  <c r="G978" i="2" s="1"/>
  <c r="H978" i="2" s="1"/>
  <c r="F880" i="2"/>
  <c r="G880" i="2" s="1"/>
  <c r="H880" i="2" s="1"/>
  <c r="F967" i="2"/>
  <c r="G967" i="2" s="1"/>
  <c r="H967" i="2" s="1"/>
  <c r="F912" i="2"/>
  <c r="G912" i="2" s="1"/>
  <c r="H912" i="2" s="1"/>
  <c r="F845" i="2"/>
  <c r="G845" i="2" s="1"/>
  <c r="H845" i="2" s="1"/>
  <c r="F989" i="2"/>
  <c r="G989" i="2" s="1"/>
  <c r="H989" i="2" s="1"/>
  <c r="F209" i="2"/>
  <c r="G209" i="2" s="1"/>
  <c r="H209" i="2" s="1"/>
  <c r="F190" i="2"/>
  <c r="G190" i="2" s="1"/>
  <c r="H190" i="2" s="1"/>
  <c r="F75" i="2"/>
  <c r="G75" i="2" s="1"/>
  <c r="H75" i="2" s="1"/>
  <c r="F92" i="2"/>
  <c r="G92" i="2" s="1"/>
  <c r="H92" i="2" s="1"/>
  <c r="F735" i="2"/>
  <c r="G735" i="2" s="1"/>
  <c r="H735" i="2" s="1"/>
  <c r="F595" i="2"/>
  <c r="G595" i="2" s="1"/>
  <c r="H595" i="2" s="1"/>
  <c r="F816" i="2"/>
  <c r="G816" i="2" s="1"/>
  <c r="H816" i="2" s="1"/>
  <c r="F201" i="2"/>
  <c r="G201" i="2" s="1"/>
  <c r="H201" i="2" s="1"/>
  <c r="F153" i="2"/>
  <c r="G153" i="2" s="1"/>
  <c r="H153" i="2" s="1"/>
  <c r="F403" i="2"/>
  <c r="G403" i="2" s="1"/>
  <c r="H403" i="2" s="1"/>
  <c r="F194" i="2"/>
  <c r="G194" i="2" s="1"/>
  <c r="H194" i="2" s="1"/>
  <c r="F654" i="2"/>
  <c r="G654" i="2" s="1"/>
  <c r="H654" i="2" s="1"/>
  <c r="F475" i="2"/>
  <c r="G475" i="2" s="1"/>
  <c r="H475" i="2" s="1"/>
  <c r="F294" i="2"/>
  <c r="G294" i="2" s="1"/>
  <c r="H294" i="2" s="1"/>
  <c r="F413" i="2"/>
  <c r="G413" i="2" s="1"/>
  <c r="H413" i="2" s="1"/>
  <c r="F867" i="2"/>
  <c r="G867" i="2" s="1"/>
  <c r="H867" i="2" s="1"/>
  <c r="F318" i="2"/>
  <c r="G318" i="2" s="1"/>
  <c r="H318" i="2" s="1"/>
  <c r="F418" i="2"/>
  <c r="G418" i="2" s="1"/>
  <c r="H418" i="2" s="1"/>
  <c r="F202" i="2"/>
  <c r="G202" i="2" s="1"/>
  <c r="H202" i="2" s="1"/>
  <c r="F695" i="2"/>
  <c r="G695" i="2" s="1"/>
  <c r="H695" i="2" s="1"/>
  <c r="F993" i="2"/>
  <c r="G993" i="2" s="1"/>
  <c r="H993" i="2" s="1"/>
  <c r="F423" i="2"/>
  <c r="G423" i="2" s="1"/>
  <c r="H423" i="2" s="1"/>
  <c r="F824" i="2"/>
  <c r="G824" i="2" s="1"/>
  <c r="H824" i="2" s="1"/>
  <c r="F828" i="2"/>
  <c r="G828" i="2" s="1"/>
  <c r="H828" i="2" s="1"/>
  <c r="F627" i="2"/>
  <c r="G627" i="2" s="1"/>
  <c r="H627" i="2" s="1"/>
  <c r="F283" i="2"/>
  <c r="G283" i="2" s="1"/>
  <c r="H283" i="2" s="1"/>
  <c r="F120" i="2"/>
  <c r="G120" i="2" s="1"/>
  <c r="H120" i="2" s="1"/>
  <c r="F622" i="2"/>
  <c r="G622" i="2" s="1"/>
  <c r="H622" i="2" s="1"/>
  <c r="F374" i="2"/>
  <c r="G374" i="2" s="1"/>
  <c r="H374" i="2" s="1"/>
  <c r="F141" i="2"/>
  <c r="G141" i="2" s="1"/>
  <c r="H141" i="2" s="1"/>
  <c r="F144" i="2"/>
  <c r="G144" i="2" s="1"/>
  <c r="H144" i="2" s="1"/>
  <c r="F517" i="2"/>
  <c r="G517" i="2" s="1"/>
  <c r="H517" i="2" s="1"/>
  <c r="F289" i="2"/>
  <c r="G289" i="2" s="1"/>
  <c r="H289" i="2" s="1"/>
  <c r="F579" i="2"/>
  <c r="G579" i="2" s="1"/>
  <c r="H579" i="2" s="1"/>
  <c r="F592" i="2"/>
  <c r="G592" i="2" s="1"/>
  <c r="H592" i="2" s="1"/>
  <c r="F430" i="2"/>
  <c r="G430" i="2" s="1"/>
  <c r="H430" i="2" s="1"/>
  <c r="F214" i="2"/>
  <c r="G214" i="2" s="1"/>
  <c r="H214" i="2" s="1"/>
  <c r="F744" i="2"/>
  <c r="G744" i="2" s="1"/>
  <c r="H744" i="2" s="1"/>
  <c r="F666" i="2"/>
  <c r="G666" i="2" s="1"/>
  <c r="H666" i="2" s="1"/>
  <c r="F260" i="2"/>
  <c r="G260" i="2" s="1"/>
  <c r="H260" i="2" s="1"/>
  <c r="F435" i="2"/>
  <c r="G435" i="2" s="1"/>
  <c r="H435" i="2" s="1"/>
  <c r="F515" i="2"/>
  <c r="G515" i="2" s="1"/>
  <c r="H515" i="2" s="1"/>
  <c r="F671" i="2"/>
  <c r="G671" i="2" s="1"/>
  <c r="H671" i="2" s="1"/>
  <c r="F763" i="2"/>
  <c r="G763" i="2" s="1"/>
  <c r="H763" i="2" s="1"/>
  <c r="F653" i="2"/>
  <c r="G653" i="2" s="1"/>
  <c r="H653" i="2" s="1"/>
  <c r="F917" i="2"/>
  <c r="G917" i="2" s="1"/>
  <c r="H917" i="2" s="1"/>
  <c r="F794" i="2"/>
  <c r="G794" i="2" s="1"/>
  <c r="H794" i="2" s="1"/>
  <c r="F57" i="2"/>
  <c r="G57" i="2" s="1"/>
  <c r="H57" i="2" s="1"/>
  <c r="F728" i="2"/>
  <c r="G728" i="2" s="1"/>
  <c r="H728" i="2" s="1"/>
  <c r="F54" i="2"/>
  <c r="G54" i="2" s="1"/>
  <c r="H54" i="2" s="1"/>
  <c r="F873" i="2"/>
  <c r="G873" i="2" s="1"/>
  <c r="H873" i="2" s="1"/>
  <c r="F179" i="2"/>
  <c r="G179" i="2" s="1"/>
  <c r="H179" i="2" s="1"/>
  <c r="F245" i="2"/>
  <c r="G245" i="2" s="1"/>
  <c r="H245" i="2" s="1"/>
  <c r="F229" i="2"/>
  <c r="G229" i="2" s="1"/>
  <c r="H229" i="2" s="1"/>
  <c r="F100" i="2"/>
  <c r="G100" i="2" s="1"/>
  <c r="H100" i="2" s="1"/>
  <c r="F215" i="2"/>
  <c r="G215" i="2" s="1"/>
  <c r="H215" i="2" s="1"/>
  <c r="F324" i="2"/>
  <c r="G324" i="2" s="1"/>
  <c r="H324" i="2" s="1"/>
  <c r="F439" i="2"/>
  <c r="G439" i="2" s="1"/>
  <c r="H439" i="2" s="1"/>
  <c r="F82" i="2"/>
  <c r="G82" i="2" s="1"/>
  <c r="H82" i="2" s="1"/>
  <c r="F526" i="2"/>
  <c r="G526" i="2" s="1"/>
  <c r="H526" i="2" s="1"/>
  <c r="F111" i="2"/>
  <c r="G111" i="2" s="1"/>
  <c r="H111" i="2" s="1"/>
  <c r="F675" i="2"/>
  <c r="G675" i="2" s="1"/>
  <c r="H675" i="2" s="1"/>
  <c r="F414" i="2"/>
  <c r="G414" i="2" s="1"/>
  <c r="H414" i="2" s="1"/>
  <c r="F610" i="2"/>
  <c r="G610" i="2" s="1"/>
  <c r="H610" i="2" s="1"/>
  <c r="F523" i="2"/>
  <c r="G523" i="2" s="1"/>
  <c r="H523" i="2" s="1"/>
  <c r="F631" i="2"/>
  <c r="G631" i="2" s="1"/>
  <c r="H631" i="2" s="1"/>
  <c r="F636" i="2"/>
  <c r="G636" i="2" s="1"/>
  <c r="H636" i="2" s="1"/>
  <c r="F665" i="2"/>
  <c r="G665" i="2" s="1"/>
  <c r="H665" i="2" s="1"/>
  <c r="F1000" i="2"/>
  <c r="G1000" i="2" s="1"/>
  <c r="H1000" i="2" s="1"/>
  <c r="F962" i="2"/>
  <c r="G962" i="2" s="1"/>
  <c r="H962" i="2" s="1"/>
  <c r="F852" i="2"/>
  <c r="G852" i="2" s="1"/>
  <c r="H852" i="2" s="1"/>
  <c r="F281" i="2"/>
  <c r="G281" i="2" s="1"/>
  <c r="H281" i="2" s="1"/>
  <c r="F397" i="2"/>
  <c r="G397" i="2" s="1"/>
  <c r="H397" i="2" s="1"/>
  <c r="F800" i="2"/>
  <c r="G800" i="2" s="1"/>
  <c r="H800" i="2" s="1"/>
  <c r="F256" i="2"/>
  <c r="G256" i="2" s="1"/>
  <c r="H256" i="2" s="1"/>
  <c r="F73" i="2"/>
  <c r="G73" i="2" s="1"/>
  <c r="H73" i="2" s="1"/>
  <c r="F485" i="2"/>
  <c r="G485" i="2" s="1"/>
  <c r="H485" i="2" s="1"/>
  <c r="F252" i="2"/>
  <c r="G252" i="2" s="1"/>
  <c r="H252" i="2" s="1"/>
  <c r="F103" i="2"/>
  <c r="G103" i="2" s="1"/>
  <c r="H103" i="2" s="1"/>
  <c r="F688" i="2"/>
  <c r="G688" i="2" s="1"/>
  <c r="H688" i="2" s="1"/>
  <c r="F460" i="2"/>
  <c r="G460" i="2" s="1"/>
  <c r="H460" i="2" s="1"/>
  <c r="F858" i="2"/>
  <c r="G858" i="2" s="1"/>
  <c r="H858" i="2" s="1"/>
  <c r="F459" i="2"/>
  <c r="G459" i="2" s="1"/>
  <c r="H459" i="2" s="1"/>
  <c r="F864" i="2"/>
  <c r="G864" i="2" s="1"/>
  <c r="H864" i="2" s="1"/>
  <c r="F278" i="2"/>
  <c r="G278" i="2" s="1"/>
  <c r="H278" i="2" s="1"/>
  <c r="F266" i="2"/>
  <c r="G266" i="2" s="1"/>
  <c r="H266" i="2" s="1"/>
  <c r="F876" i="2"/>
  <c r="G876" i="2" s="1"/>
  <c r="H876" i="2" s="1"/>
  <c r="F335" i="2"/>
  <c r="G335" i="2" s="1"/>
  <c r="H335" i="2" s="1"/>
  <c r="F12" i="2"/>
  <c r="G12" i="2" s="1"/>
  <c r="H12" i="2" s="1"/>
  <c r="F42" i="2"/>
  <c r="G42" i="2" s="1"/>
  <c r="H42" i="2" s="1"/>
  <c r="F752" i="2"/>
  <c r="G752" i="2" s="1"/>
  <c r="H752" i="2" s="1"/>
  <c r="F124" i="2"/>
  <c r="G124" i="2" s="1"/>
  <c r="H124" i="2" s="1"/>
  <c r="F306" i="2"/>
  <c r="G306" i="2" s="1"/>
  <c r="H306" i="2" s="1"/>
  <c r="F47" i="2"/>
  <c r="G47" i="2" s="1"/>
  <c r="H47" i="2" s="1"/>
  <c r="F316" i="2"/>
  <c r="G316" i="2" s="1"/>
  <c r="H316" i="2" s="1"/>
  <c r="F191" i="2"/>
  <c r="G191" i="2" s="1"/>
  <c r="H191" i="2" s="1"/>
  <c r="F13" i="2"/>
  <c r="G13" i="2" s="1"/>
  <c r="H13" i="2" s="1"/>
  <c r="F652" i="2"/>
  <c r="G652" i="2" s="1"/>
  <c r="H652" i="2" s="1"/>
  <c r="F882" i="2"/>
  <c r="G882" i="2" s="1"/>
  <c r="H882" i="2" s="1"/>
  <c r="F409" i="2"/>
  <c r="G409" i="2" s="1"/>
  <c r="H409" i="2" s="1"/>
  <c r="F698" i="2"/>
  <c r="G698" i="2" s="1"/>
  <c r="H698" i="2" s="1"/>
  <c r="F415" i="2"/>
  <c r="G415" i="2" s="1"/>
  <c r="H415" i="2" s="1"/>
  <c r="F98" i="2"/>
  <c r="G98" i="2" s="1"/>
  <c r="H98" i="2" s="1"/>
  <c r="F386" i="2"/>
  <c r="G386" i="2" s="1"/>
  <c r="H386" i="2" s="1"/>
  <c r="F935" i="2"/>
  <c r="G935" i="2" s="1"/>
  <c r="H935" i="2" s="1"/>
  <c r="F259" i="2"/>
  <c r="G259" i="2" s="1"/>
  <c r="H259" i="2" s="1"/>
  <c r="F265" i="2"/>
  <c r="G265" i="2" s="1"/>
  <c r="H265" i="2" s="1"/>
  <c r="F546" i="2"/>
  <c r="G546" i="2" s="1"/>
  <c r="H546" i="2" s="1"/>
  <c r="F31" i="2"/>
  <c r="G31" i="2" s="1"/>
  <c r="H31" i="2" s="1"/>
  <c r="F319" i="2"/>
  <c r="G319" i="2" s="1"/>
  <c r="H319" i="2" s="1"/>
  <c r="F790" i="2"/>
  <c r="G790" i="2" s="1"/>
  <c r="H790" i="2" s="1"/>
  <c r="F513" i="2"/>
  <c r="G513" i="2" s="1"/>
  <c r="H513" i="2" s="1"/>
  <c r="F450" i="2"/>
  <c r="G450" i="2" s="1"/>
  <c r="H450" i="2" s="1"/>
  <c r="F88" i="2"/>
  <c r="G88" i="2" s="1"/>
  <c r="H88" i="2" s="1"/>
  <c r="F85" i="2"/>
  <c r="G85" i="2" s="1"/>
  <c r="H85" i="2" s="1"/>
  <c r="F373" i="2"/>
  <c r="G373" i="2" s="1"/>
  <c r="H373" i="2" s="1"/>
  <c r="F987" i="2"/>
  <c r="G987" i="2" s="1"/>
  <c r="H987" i="2" s="1"/>
  <c r="F269" i="2"/>
  <c r="G269" i="2" s="1"/>
  <c r="H269" i="2" s="1"/>
  <c r="F789" i="2"/>
  <c r="G789" i="2" s="1"/>
  <c r="H789" i="2" s="1"/>
  <c r="F196" i="2"/>
  <c r="G196" i="2" s="1"/>
  <c r="H196" i="2" s="1"/>
  <c r="F388" i="2"/>
  <c r="G388" i="2" s="1"/>
  <c r="H388" i="2" s="1"/>
  <c r="F741" i="2"/>
  <c r="G741" i="2" s="1"/>
  <c r="H741" i="2" s="1"/>
  <c r="F26" i="2"/>
  <c r="G26" i="2" s="1"/>
  <c r="H26" i="2" s="1"/>
  <c r="F365" i="2"/>
  <c r="G365" i="2" s="1"/>
  <c r="H365" i="2" s="1"/>
  <c r="F36" i="2"/>
  <c r="G36" i="2" s="1"/>
  <c r="H36" i="2" s="1"/>
  <c r="F228" i="2"/>
  <c r="G228" i="2" s="1"/>
  <c r="H228" i="2" s="1"/>
  <c r="F487" i="2"/>
  <c r="G487" i="2" s="1"/>
  <c r="H487" i="2" s="1"/>
  <c r="F1006" i="2"/>
  <c r="G1006" i="2" s="1"/>
  <c r="H1006" i="2" s="1"/>
  <c r="F161" i="2"/>
  <c r="G161" i="2" s="1"/>
  <c r="H161" i="2" s="1"/>
  <c r="F353" i="2"/>
  <c r="G353" i="2" s="1"/>
  <c r="H353" i="2" s="1"/>
  <c r="F538" i="2"/>
  <c r="G538" i="2" s="1"/>
  <c r="H538" i="2" s="1"/>
  <c r="F889" i="2"/>
  <c r="G889" i="2" s="1"/>
  <c r="H889" i="2" s="1"/>
  <c r="F775" i="2"/>
  <c r="G775" i="2" s="1"/>
  <c r="H775" i="2" s="1"/>
  <c r="F154" i="2"/>
  <c r="G154" i="2" s="1"/>
  <c r="H154" i="2" s="1"/>
  <c r="F298" i="2"/>
  <c r="G298" i="2" s="1"/>
  <c r="H298" i="2" s="1"/>
  <c r="F441" i="2"/>
  <c r="G441" i="2" s="1"/>
  <c r="H441" i="2" s="1"/>
  <c r="F649" i="2"/>
  <c r="G649" i="2" s="1"/>
  <c r="H649" i="2" s="1"/>
  <c r="F985" i="2"/>
  <c r="G985" i="2" s="1"/>
  <c r="H985" i="2" s="1"/>
  <c r="F39" i="2"/>
  <c r="G39" i="2" s="1"/>
  <c r="H39" i="2" s="1"/>
  <c r="F183" i="2"/>
  <c r="G183" i="2" s="1"/>
  <c r="H183" i="2" s="1"/>
  <c r="F327" i="2"/>
  <c r="G327" i="2" s="1"/>
  <c r="H327" i="2" s="1"/>
  <c r="F519" i="2"/>
  <c r="G519" i="2" s="1"/>
  <c r="H519" i="2" s="1"/>
  <c r="F866" i="2"/>
  <c r="G866" i="2" s="1"/>
  <c r="H866" i="2" s="1"/>
  <c r="F56" i="2"/>
  <c r="G56" i="2" s="1"/>
  <c r="H56" i="2" s="1"/>
  <c r="F200" i="2"/>
  <c r="G200" i="2" s="1"/>
  <c r="H200" i="2" s="1"/>
  <c r="F344" i="2"/>
  <c r="G344" i="2" s="1"/>
  <c r="H344" i="2" s="1"/>
  <c r="F502" i="2"/>
  <c r="G502" i="2" s="1"/>
  <c r="H502" i="2" s="1"/>
  <c r="F781" i="2"/>
  <c r="G781" i="2" s="1"/>
  <c r="H781" i="2" s="1"/>
  <c r="F520" i="2"/>
  <c r="G520" i="2" s="1"/>
  <c r="H520" i="2" s="1"/>
  <c r="F706" i="2"/>
  <c r="G706" i="2" s="1"/>
  <c r="H706" i="2" s="1"/>
  <c r="F452" i="2"/>
  <c r="G452" i="2" s="1"/>
  <c r="H452" i="2" s="1"/>
  <c r="F642" i="2"/>
  <c r="G642" i="2" s="1"/>
  <c r="H642" i="2" s="1"/>
  <c r="F457" i="2"/>
  <c r="G457" i="2" s="1"/>
  <c r="H457" i="2" s="1"/>
  <c r="F578" i="2"/>
  <c r="G578" i="2" s="1"/>
  <c r="H578" i="2" s="1"/>
  <c r="F778" i="2"/>
  <c r="G778" i="2" s="1"/>
  <c r="H778" i="2" s="1"/>
  <c r="F875" i="2"/>
  <c r="G875" i="2" s="1"/>
  <c r="H875" i="2" s="1"/>
  <c r="F998" i="2"/>
  <c r="G998" i="2" s="1"/>
  <c r="H998" i="2" s="1"/>
  <c r="F703" i="2"/>
  <c r="G703" i="2" s="1"/>
  <c r="H703" i="2" s="1"/>
  <c r="F884" i="2"/>
  <c r="G884" i="2" s="1"/>
  <c r="H884" i="2" s="1"/>
  <c r="F564" i="2"/>
  <c r="G564" i="2" s="1"/>
  <c r="H564" i="2" s="1"/>
  <c r="F708" i="2"/>
  <c r="G708" i="2" s="1"/>
  <c r="H708" i="2" s="1"/>
  <c r="F861" i="2"/>
  <c r="G861" i="2" s="1"/>
  <c r="H861" i="2" s="1"/>
  <c r="F593" i="2"/>
  <c r="G593" i="2" s="1"/>
  <c r="H593" i="2" s="1"/>
  <c r="F749" i="2"/>
  <c r="G749" i="2" s="1"/>
  <c r="H749" i="2" s="1"/>
  <c r="F980" i="2"/>
  <c r="G980" i="2" s="1"/>
  <c r="H980" i="2" s="1"/>
  <c r="F940" i="2"/>
  <c r="G940" i="2" s="1"/>
  <c r="H940" i="2" s="1"/>
  <c r="F803" i="2"/>
  <c r="G803" i="2" s="1"/>
  <c r="H803" i="2" s="1"/>
  <c r="F981" i="2"/>
  <c r="G981" i="2" s="1"/>
  <c r="H981" i="2" s="1"/>
  <c r="F886" i="2"/>
  <c r="G886" i="2" s="1"/>
  <c r="H886" i="2" s="1"/>
  <c r="F979" i="2"/>
  <c r="G979" i="2" s="1"/>
  <c r="H979" i="2" s="1"/>
  <c r="F924" i="2"/>
  <c r="G924" i="2" s="1"/>
  <c r="H924" i="2" s="1"/>
  <c r="F857" i="2"/>
  <c r="G857" i="2" s="1"/>
  <c r="H857" i="2" s="1"/>
  <c r="F1001" i="2"/>
  <c r="G1001" i="2" s="1"/>
  <c r="H1001" i="2" s="1"/>
  <c r="I651" i="2" l="1"/>
  <c r="I652" i="2"/>
  <c r="I536" i="2"/>
  <c r="I245" i="2"/>
  <c r="I685" i="2"/>
  <c r="I124" i="2"/>
  <c r="I505" i="2"/>
  <c r="I476" i="2"/>
  <c r="I573" i="2"/>
  <c r="I912" i="2"/>
  <c r="I478" i="2"/>
  <c r="I980" i="2"/>
  <c r="I887" i="2"/>
  <c r="I518" i="2"/>
  <c r="I851" i="2"/>
  <c r="I185" i="2"/>
  <c r="I666" i="2"/>
  <c r="I715" i="2"/>
  <c r="I895" i="2"/>
  <c r="I1002" i="2"/>
  <c r="I299" i="2"/>
  <c r="I611" i="2"/>
  <c r="I621" i="2"/>
  <c r="I143" i="2"/>
  <c r="I50" i="2"/>
  <c r="I411" i="2"/>
  <c r="I746" i="2"/>
  <c r="I83" i="2"/>
  <c r="I454" i="2"/>
  <c r="I112" i="2"/>
  <c r="I301" i="2"/>
  <c r="I755" i="2"/>
  <c r="I52" i="2"/>
  <c r="I856" i="2"/>
  <c r="I490" i="2"/>
  <c r="I266" i="2"/>
  <c r="I843" i="2"/>
  <c r="I355" i="2"/>
  <c r="I590" i="2"/>
  <c r="I118" i="2"/>
  <c r="I195" i="2"/>
  <c r="I288" i="2"/>
  <c r="I403" i="2"/>
  <c r="I641" i="2"/>
  <c r="I821" i="2"/>
  <c r="I571" i="2"/>
  <c r="I553" i="2"/>
  <c r="I725" i="2"/>
  <c r="I21" i="2"/>
  <c r="I729" i="2"/>
  <c r="I993" i="2"/>
  <c r="I255" i="2"/>
  <c r="I86" i="2"/>
  <c r="I872" i="2"/>
  <c r="I647" i="2"/>
  <c r="I169" i="2"/>
  <c r="I332" i="2"/>
  <c r="I431" i="2"/>
  <c r="I304" i="2"/>
  <c r="I889" i="2"/>
  <c r="I600" i="2"/>
  <c r="I718" i="2"/>
  <c r="I254" i="2"/>
  <c r="I777" i="2"/>
  <c r="I760" i="2"/>
  <c r="I678" i="2"/>
  <c r="I471" i="2"/>
  <c r="I735" i="2"/>
  <c r="I954" i="2"/>
  <c r="I925" i="2"/>
  <c r="I857" i="2"/>
  <c r="I353" i="2"/>
  <c r="I327" i="2"/>
  <c r="I198" i="2"/>
  <c r="I99" i="2"/>
  <c r="I384" i="2"/>
  <c r="I236" i="2"/>
  <c r="I720" i="2"/>
  <c r="I712" i="2"/>
  <c r="I272" i="2"/>
  <c r="I700" i="2"/>
  <c r="I227" i="2"/>
  <c r="I827" i="2"/>
  <c r="I356" i="2"/>
  <c r="I957" i="2"/>
  <c r="I379" i="2"/>
  <c r="I588" i="2"/>
  <c r="I89" i="2"/>
  <c r="I583" i="2"/>
  <c r="I418" i="2"/>
  <c r="I995" i="2"/>
  <c r="I934" i="2"/>
  <c r="I530" i="2"/>
  <c r="I43" i="2"/>
  <c r="I475" i="2"/>
  <c r="I406" i="2"/>
  <c r="I680" i="2"/>
  <c r="I801" i="2"/>
  <c r="I381" i="2"/>
  <c r="I562" i="2"/>
  <c r="I897" i="2"/>
  <c r="I648" i="2"/>
  <c r="I498" i="2"/>
  <c r="I176" i="2"/>
  <c r="I443" i="2"/>
  <c r="I951" i="2"/>
  <c r="I131" i="2"/>
  <c r="I803" i="2"/>
  <c r="I369" i="2"/>
  <c r="I460" i="2"/>
  <c r="I395" i="2"/>
  <c r="I884" i="2"/>
  <c r="I82" i="2"/>
  <c r="I609" i="2"/>
  <c r="I796" i="2"/>
  <c r="I757" i="2"/>
  <c r="I577" i="2"/>
  <c r="I122" i="2"/>
  <c r="I766" i="2"/>
  <c r="I574" i="2"/>
  <c r="I280" i="2"/>
  <c r="I935" i="2"/>
  <c r="I69" i="2"/>
  <c r="I640" i="2"/>
  <c r="I948" i="2"/>
  <c r="I550" i="2"/>
  <c r="I352" i="2"/>
  <c r="I962" i="2"/>
  <c r="I388" i="2"/>
  <c r="I973" i="2"/>
  <c r="I320" i="2"/>
  <c r="I144" i="2"/>
  <c r="I424" i="2"/>
  <c r="I515" i="2"/>
  <c r="I983" i="2"/>
  <c r="I150" i="2"/>
  <c r="I404" i="2"/>
  <c r="I938" i="2"/>
  <c r="I193" i="2"/>
  <c r="I911" i="2"/>
  <c r="I445" i="2"/>
  <c r="I121" i="2"/>
  <c r="I702" i="2"/>
  <c r="I768" i="2"/>
  <c r="I610" i="2"/>
  <c r="I716" i="2"/>
  <c r="I271" i="2"/>
  <c r="I636" i="2"/>
  <c r="I153" i="2"/>
  <c r="I693" i="2"/>
  <c r="I209" i="2"/>
  <c r="I135" i="2"/>
  <c r="I140" i="2"/>
  <c r="I885" i="2"/>
  <c r="I96" i="2"/>
  <c r="I528" i="2"/>
  <c r="I20" i="2"/>
  <c r="I677" i="2"/>
  <c r="I459" i="2"/>
  <c r="I635" i="2"/>
  <c r="I814" i="2"/>
  <c r="I650" i="2"/>
  <c r="I747" i="2"/>
  <c r="I958" i="2"/>
  <c r="I809" i="2"/>
  <c r="I569" i="2"/>
  <c r="I618" i="2"/>
  <c r="I942" i="2"/>
  <c r="I473" i="2"/>
  <c r="I989" i="2"/>
  <c r="I776" i="2"/>
  <c r="I977" i="2"/>
  <c r="I815" i="2"/>
  <c r="I28" i="2"/>
  <c r="I210" i="2"/>
  <c r="I502" i="2"/>
  <c r="I483" i="2"/>
  <c r="I936" i="2"/>
  <c r="I646" i="2"/>
  <c r="I952" i="2"/>
  <c r="I437" i="2"/>
  <c r="I319" i="2"/>
  <c r="I607" i="2"/>
  <c r="I467" i="2"/>
  <c r="I425" i="2"/>
  <c r="I238" i="2"/>
  <c r="I894" i="2"/>
  <c r="I615" i="2"/>
  <c r="I149" i="2"/>
  <c r="I784" i="2"/>
  <c r="I622" i="2"/>
  <c r="I840" i="2"/>
  <c r="I941" i="2"/>
  <c r="I253" i="2"/>
  <c r="I836" i="2"/>
  <c r="I456" i="2"/>
  <c r="I701" i="2"/>
  <c r="I860" i="2"/>
  <c r="I759" i="2"/>
  <c r="I97" i="2"/>
  <c r="I738" i="2"/>
  <c r="I95" i="2"/>
  <c r="I581" i="2"/>
  <c r="I394" i="2"/>
  <c r="I1010" i="2"/>
  <c r="I850" i="2"/>
  <c r="I811" i="2"/>
  <c r="I709" i="2"/>
  <c r="I644" i="2"/>
  <c r="I587" i="2"/>
  <c r="I643" i="2"/>
  <c r="I537" i="2"/>
  <c r="I458" i="2"/>
  <c r="I235" i="2"/>
  <c r="I194" i="2"/>
  <c r="I1009" i="2"/>
  <c r="I393" i="2"/>
  <c r="I999" i="2"/>
  <c r="I392" i="2"/>
  <c r="I77" i="2"/>
  <c r="I1008" i="2"/>
  <c r="I513" i="2"/>
  <c r="I107" i="2"/>
  <c r="I614" i="2"/>
  <c r="I892" i="2"/>
  <c r="I399" i="2"/>
  <c r="I496" i="2"/>
  <c r="I853" i="2"/>
  <c r="I125" i="2"/>
  <c r="I117" i="2"/>
  <c r="I367" i="2"/>
  <c r="I549" i="2"/>
  <c r="I65" i="2"/>
  <c r="I433" i="2"/>
  <c r="I570" i="2"/>
  <c r="I971" i="2"/>
  <c r="I780" i="2"/>
  <c r="I339" i="2"/>
  <c r="I45" i="2"/>
  <c r="I782" i="2"/>
  <c r="I106" i="2"/>
  <c r="I773" i="2"/>
  <c r="I256" i="2"/>
  <c r="I751" i="2"/>
  <c r="I994" i="2"/>
  <c r="I775" i="2"/>
  <c r="I311" i="2"/>
  <c r="I890" i="2"/>
  <c r="I300" i="2"/>
  <c r="I426" i="2"/>
  <c r="I848" i="2"/>
  <c r="I232" i="2"/>
  <c r="I905" i="2"/>
  <c r="I739" i="2"/>
  <c r="I414" i="2"/>
  <c r="I534" i="2"/>
  <c r="I387" i="2"/>
  <c r="I997" i="2"/>
  <c r="I594" i="2"/>
  <c r="I40" i="2"/>
  <c r="I484" i="2"/>
  <c r="I839" i="2"/>
  <c r="I904" i="2"/>
  <c r="I175" i="2"/>
  <c r="I261" i="2"/>
  <c r="I291" i="2"/>
  <c r="I828" i="2"/>
  <c r="I249" i="2"/>
  <c r="I504" i="2"/>
  <c r="I950" i="2"/>
  <c r="I708" i="2"/>
  <c r="I412" i="2"/>
  <c r="I844" i="2"/>
  <c r="I54" i="2"/>
  <c r="I808" i="2"/>
  <c r="I368" i="2"/>
  <c r="I961" i="2"/>
  <c r="I787" i="2"/>
  <c r="I378" i="2"/>
  <c r="I692" i="2"/>
  <c r="I389" i="2"/>
  <c r="I225" i="2"/>
  <c r="I432" i="2"/>
  <c r="I246" i="2"/>
  <c r="I696" i="2"/>
  <c r="I230" i="2"/>
  <c r="I380" i="2"/>
  <c r="I160" i="2"/>
  <c r="I281" i="2"/>
  <c r="I514" i="2"/>
  <c r="I382" i="2"/>
  <c r="I822" i="2"/>
  <c r="I276" i="2"/>
  <c r="I32" i="2"/>
  <c r="I217" i="2"/>
  <c r="I908" i="2"/>
  <c r="I23" i="2"/>
  <c r="I66" i="2"/>
  <c r="I608" i="2"/>
  <c r="I991" i="2"/>
  <c r="I376" i="2"/>
  <c r="I985" i="2"/>
  <c r="I287" i="2"/>
  <c r="I688" i="2"/>
  <c r="I415" i="2"/>
  <c r="I903" i="2"/>
  <c r="I719" i="2"/>
  <c r="I891" i="2"/>
  <c r="I472" i="2"/>
  <c r="I62" i="2"/>
  <c r="I919" i="2"/>
  <c r="I15" i="2"/>
  <c r="I841" i="2"/>
  <c r="I529" i="2"/>
  <c r="I285" i="2"/>
  <c r="I546" i="2"/>
  <c r="I363" i="2"/>
  <c r="I667" i="2"/>
  <c r="I861" i="2"/>
  <c r="I523" i="2"/>
  <c r="I292" i="2"/>
  <c r="I928" i="2"/>
  <c r="I947" i="2"/>
  <c r="I789" i="2"/>
  <c r="I402" i="2"/>
  <c r="I196" i="2"/>
  <c r="I29" i="2"/>
  <c r="I354" i="2"/>
  <c r="I691" i="2"/>
  <c r="I965" i="2"/>
  <c r="I139" i="2"/>
  <c r="I423" i="2"/>
  <c r="I348" i="2"/>
  <c r="I867" i="2"/>
  <c r="I619" i="2"/>
  <c r="I142" i="2"/>
  <c r="I918" i="2"/>
  <c r="I593" i="2"/>
  <c r="I417" i="2"/>
  <c r="I672" i="2"/>
  <c r="I24" i="2"/>
  <c r="I978" i="2"/>
  <c r="I428" i="2"/>
  <c r="I49" i="2"/>
  <c r="I555" i="2"/>
  <c r="I334" i="2"/>
  <c r="I323" i="2"/>
  <c r="I207" i="2"/>
  <c r="I783" i="2"/>
  <c r="I53" i="2"/>
  <c r="I785" i="2"/>
  <c r="I508" i="2"/>
  <c r="I439" i="2"/>
  <c r="I661" i="2"/>
  <c r="I597" i="2"/>
  <c r="I91" i="2"/>
  <c r="I595" i="2"/>
  <c r="I804" i="2"/>
  <c r="I797" i="2"/>
  <c r="I552" i="2"/>
  <c r="I94" i="2"/>
  <c r="I448" i="2"/>
  <c r="I944" i="2"/>
  <c r="I84" i="2"/>
  <c r="I329" i="2"/>
  <c r="I427" i="2"/>
  <c r="I455" i="2"/>
  <c r="I943" i="2"/>
  <c r="I527" i="2"/>
  <c r="I745" i="2"/>
  <c r="I474" i="2"/>
  <c r="I188" i="2"/>
  <c r="I731" i="2"/>
  <c r="I132" i="2"/>
  <c r="I624" i="2"/>
  <c r="I852" i="2"/>
  <c r="I698" i="2"/>
  <c r="I279" i="2"/>
  <c r="I386" i="2"/>
  <c r="I102" i="2"/>
  <c r="I492" i="2"/>
  <c r="I506" i="2"/>
  <c r="I480" i="2"/>
  <c r="I342" i="2"/>
  <c r="I761" i="2"/>
  <c r="I337" i="2"/>
  <c r="I664" i="2"/>
  <c r="I208" i="2"/>
  <c r="I810" i="2"/>
  <c r="I308" i="2"/>
  <c r="I671" i="2"/>
  <c r="I416" i="2"/>
  <c r="I251" i="2"/>
  <c r="I681" i="2"/>
  <c r="I197" i="2"/>
  <c r="I93" i="2"/>
  <c r="I92" i="2"/>
  <c r="I974" i="2"/>
  <c r="I161" i="2"/>
  <c r="I72" i="2"/>
  <c r="I969" i="2"/>
  <c r="I813" i="2"/>
  <c r="I899" i="2"/>
  <c r="I713" i="2"/>
  <c r="I218" i="2"/>
  <c r="I465" i="2"/>
  <c r="I70" i="2"/>
  <c r="I532" i="2"/>
  <c r="I110" i="2"/>
  <c r="I151" i="2"/>
  <c r="I882" i="2"/>
  <c r="I637" i="2"/>
  <c r="I75" i="2"/>
  <c r="I60" i="2"/>
  <c r="I556" i="2"/>
  <c r="I824" i="2"/>
  <c r="I820" i="2"/>
  <c r="I734" i="2"/>
  <c r="I113" i="2"/>
  <c r="I58" i="2"/>
  <c r="I902" i="2"/>
  <c r="I601" i="2"/>
  <c r="I76" i="2"/>
  <c r="I156" i="2"/>
  <c r="I265" i="2"/>
  <c r="I365" i="2"/>
  <c r="I316" i="2"/>
  <c r="I366" i="2"/>
  <c r="I653" i="2"/>
  <c r="I273" i="2"/>
  <c r="I488" i="2"/>
  <c r="I345" i="2"/>
  <c r="I401" i="2"/>
  <c r="I26" i="2"/>
  <c r="I240" i="2"/>
  <c r="I170" i="2"/>
  <c r="I419" i="2"/>
  <c r="I706" i="2"/>
  <c r="I535" i="2"/>
  <c r="I866" i="2"/>
  <c r="I303" i="2"/>
  <c r="I855" i="2"/>
  <c r="I293" i="2"/>
  <c r="I786" i="2"/>
  <c r="I328" i="2"/>
  <c r="I141" i="2"/>
  <c r="I57" i="2"/>
  <c r="I172" i="2"/>
  <c r="I873" i="2"/>
  <c r="I710" i="2"/>
  <c r="I78" i="2"/>
  <c r="I658" i="2"/>
  <c r="I446" i="2"/>
  <c r="I321" i="2"/>
  <c r="I910" i="2"/>
  <c r="I521" i="2"/>
  <c r="I576" i="2"/>
  <c r="I772" i="2"/>
  <c r="I629" i="2"/>
  <c r="I568" i="2"/>
  <c r="I533" i="2"/>
  <c r="I649" i="2"/>
  <c r="I858" i="2"/>
  <c r="I373" i="2"/>
  <c r="I927" i="2"/>
  <c r="I309" i="2"/>
  <c r="I129" i="2"/>
  <c r="I1003" i="2"/>
  <c r="I174" i="2"/>
  <c r="I326" i="2"/>
  <c r="I616" i="2"/>
  <c r="I605" i="2"/>
  <c r="I520" i="2"/>
  <c r="I560" i="2"/>
  <c r="I984" i="2"/>
  <c r="I315" i="2"/>
  <c r="I294" i="2"/>
  <c r="I178" i="2"/>
  <c r="I250" i="2"/>
  <c r="I964" i="2"/>
  <c r="I191" i="2"/>
  <c r="I17" i="2"/>
  <c r="I865" i="2"/>
  <c r="I914" i="2"/>
  <c r="I346" i="2"/>
  <c r="I771" i="2"/>
  <c r="I463" i="2"/>
  <c r="I385" i="2"/>
  <c r="I591" i="2"/>
  <c r="I642" i="2"/>
  <c r="I829" i="2"/>
  <c r="I258" i="2"/>
  <c r="I926" i="2"/>
  <c r="I435" i="2"/>
  <c r="I109" i="2"/>
  <c r="I742" i="2"/>
  <c r="I531" i="2"/>
  <c r="I525" i="2"/>
  <c r="I849" i="2"/>
  <c r="I888" i="2"/>
  <c r="I331" i="2"/>
  <c r="I854" i="2"/>
  <c r="I931" i="2"/>
  <c r="I613" i="2"/>
  <c r="I59" i="2"/>
  <c r="I167" i="2"/>
  <c r="I932" i="2"/>
  <c r="I906" i="2"/>
  <c r="I358" i="2"/>
  <c r="I199" i="2"/>
  <c r="I705" i="2"/>
  <c r="I372" i="2"/>
  <c r="I825" i="2"/>
  <c r="I604" i="2"/>
  <c r="I430" i="2"/>
  <c r="I767" i="2"/>
  <c r="I545" i="2"/>
  <c r="I599" i="2"/>
  <c r="I748" i="2"/>
  <c r="I896" i="2"/>
  <c r="I370" i="2"/>
  <c r="I55" i="2"/>
  <c r="I500" i="2"/>
  <c r="I333" i="2"/>
  <c r="I119" i="2"/>
  <c r="I103" i="2"/>
  <c r="I37" i="2"/>
  <c r="I165" i="2"/>
  <c r="I486" i="2"/>
  <c r="I278" i="2"/>
  <c r="I657" i="2"/>
  <c r="I875" i="2"/>
  <c r="I842" i="2"/>
  <c r="I737" i="2"/>
  <c r="I968" i="2"/>
  <c r="I501" i="2"/>
  <c r="I998" i="2"/>
  <c r="I350" i="2"/>
  <c r="I364" i="2"/>
  <c r="I743" i="2"/>
  <c r="I630" i="2"/>
  <c r="I283" i="2"/>
  <c r="I155" i="2"/>
  <c r="I277" i="2"/>
  <c r="I511" i="2"/>
  <c r="I659" i="2"/>
  <c r="I727" i="2"/>
  <c r="I982" i="2"/>
  <c r="I116" i="2"/>
  <c r="I497" i="2"/>
  <c r="I247" i="2"/>
  <c r="I344" i="2"/>
  <c r="I711" i="2"/>
  <c r="I298" i="2"/>
  <c r="I542" i="2"/>
  <c r="I554" i="2"/>
  <c r="I924" i="2"/>
  <c r="I988" i="2"/>
  <c r="I335" i="2"/>
  <c r="I519" i="2"/>
  <c r="I798" i="2"/>
  <c r="I243" i="2"/>
  <c r="I357" i="2"/>
  <c r="I270" i="2"/>
  <c r="I259" i="2"/>
  <c r="I127" i="2"/>
  <c r="I682" i="2"/>
  <c r="I901" i="2"/>
  <c r="I639" i="2"/>
  <c r="I744" i="2"/>
  <c r="I800" i="2"/>
  <c r="I834" i="2"/>
  <c r="I464" i="2"/>
  <c r="I405" i="2"/>
  <c r="I864" i="2"/>
  <c r="I967" i="2"/>
  <c r="I933" i="2"/>
  <c r="I676" i="2"/>
  <c r="I215" i="2"/>
  <c r="I157" i="2"/>
  <c r="I98" i="2"/>
  <c r="I769" i="2"/>
  <c r="I859" i="2"/>
  <c r="I900" i="2"/>
  <c r="I929" i="2"/>
  <c r="I937" i="2"/>
  <c r="I495" i="2"/>
  <c r="I336" i="2"/>
  <c r="I909" i="2"/>
  <c r="I893" i="2"/>
  <c r="I362" i="2"/>
  <c r="I262" i="2"/>
  <c r="I211" i="2"/>
  <c r="I79" i="2"/>
  <c r="I442" i="2"/>
  <c r="I391" i="2"/>
  <c r="I179" i="2"/>
  <c r="I231" i="2"/>
  <c r="I42" i="2"/>
  <c r="I818" i="2"/>
  <c r="I922" i="2"/>
  <c r="I792" i="2"/>
  <c r="I145" i="2"/>
  <c r="I34" i="2"/>
  <c r="I697" i="2"/>
  <c r="I802" i="2"/>
  <c r="I806" i="2"/>
  <c r="I275" i="2"/>
  <c r="I469" i="2"/>
  <c r="I631" i="2"/>
  <c r="I447" i="2"/>
  <c r="I633" i="2"/>
  <c r="I44" i="2"/>
  <c r="I730" i="2"/>
  <c r="I1007" i="2"/>
  <c r="I310" i="2"/>
  <c r="I239" i="2"/>
  <c r="I949" i="2"/>
  <c r="I589" i="2"/>
  <c r="I237" i="2"/>
  <c r="I544" i="2"/>
  <c r="I572" i="2"/>
  <c r="I707" i="2"/>
  <c r="I788" i="2"/>
  <c r="I85" i="2"/>
  <c r="I111" i="2"/>
  <c r="I791" i="2"/>
  <c r="I226" i="2"/>
  <c r="I979" i="2"/>
  <c r="I485" i="2"/>
  <c r="I670" i="2"/>
  <c r="I400" i="2"/>
  <c r="I662" i="2"/>
  <c r="I154" i="2"/>
  <c r="I349" i="2"/>
  <c r="I602" i="2"/>
  <c r="I302" i="2"/>
  <c r="I877" i="2"/>
  <c r="I972" i="2"/>
  <c r="I440" i="2"/>
  <c r="I740" i="2"/>
  <c r="I73" i="2"/>
  <c r="I921" i="2"/>
  <c r="I67" i="2"/>
  <c r="I543" i="2"/>
  <c r="I584" i="2"/>
  <c r="I790" i="2"/>
  <c r="I36" i="2"/>
  <c r="I115" i="2"/>
  <c r="I763" i="2"/>
  <c r="I625" i="2"/>
  <c r="I56" i="2"/>
  <c r="I752" i="2"/>
  <c r="I396" i="2"/>
  <c r="I1000" i="2"/>
  <c r="I956" i="2"/>
  <c r="I289" i="2"/>
  <c r="I120" i="2"/>
  <c r="I138" i="2"/>
  <c r="I205" i="2"/>
  <c r="I168" i="2"/>
  <c r="I48" i="2"/>
  <c r="I656" i="2"/>
  <c r="I219" i="2"/>
  <c r="I557" i="2"/>
  <c r="I847" i="2"/>
  <c r="I538" i="2"/>
  <c r="I46" i="2"/>
  <c r="I953" i="2"/>
  <c r="I561" i="2"/>
  <c r="I81" i="2"/>
  <c r="I491" i="2"/>
  <c r="I699" i="2"/>
  <c r="I470" i="2"/>
  <c r="I375" i="2"/>
  <c r="I863" i="2"/>
  <c r="I114" i="2"/>
  <c r="I723" i="2"/>
  <c r="I579" i="2"/>
  <c r="I257" i="2"/>
  <c r="I799" i="2"/>
  <c r="I917" i="2"/>
  <c r="I756" i="2"/>
  <c r="I192" i="2"/>
  <c r="I966" i="2"/>
  <c r="I361" i="2"/>
  <c r="I359" i="2"/>
  <c r="I547" i="2"/>
  <c r="I181" i="2"/>
  <c r="I835" i="2"/>
  <c r="I886" i="2"/>
  <c r="I793" i="2"/>
  <c r="I481" i="2"/>
  <c r="I724" i="2"/>
  <c r="I30" i="2"/>
  <c r="I163" i="2"/>
  <c r="I683" i="2"/>
  <c r="I147" i="2"/>
  <c r="I158" i="2"/>
  <c r="I598" i="2"/>
  <c r="I410" i="2"/>
  <c r="I41" i="2"/>
  <c r="I963" i="2"/>
  <c r="I764" i="2"/>
  <c r="I684" i="2"/>
  <c r="I284" i="2"/>
  <c r="I166" i="2"/>
  <c r="I564" i="2"/>
  <c r="I340" i="2"/>
  <c r="I695" i="2"/>
  <c r="I805" i="2"/>
  <c r="I494" i="2"/>
  <c r="I184" i="2"/>
  <c r="I617" i="2"/>
  <c r="I187" i="2"/>
  <c r="I341" i="2"/>
  <c r="I728" i="2"/>
  <c r="I845" i="2"/>
  <c r="I47" i="2"/>
  <c r="I960" i="2"/>
  <c r="I750" i="2"/>
  <c r="I123" i="2"/>
  <c r="I675" i="2"/>
  <c r="I377" i="2"/>
  <c r="I990" i="2"/>
  <c r="I690" i="2"/>
  <c r="I596" i="2"/>
  <c r="I585" i="2"/>
  <c r="I679" i="2"/>
  <c r="I870" i="2"/>
  <c r="I632" i="2"/>
  <c r="I758" i="2"/>
  <c r="I421" i="2"/>
  <c r="I812" i="2"/>
  <c r="I171" i="2"/>
  <c r="I234" i="2"/>
  <c r="I817" i="2"/>
  <c r="I242" i="2"/>
  <c r="I295" i="2"/>
  <c r="I338" i="2"/>
  <c r="I548" i="2"/>
  <c r="I831" i="2"/>
  <c r="I879" i="2"/>
  <c r="I620" i="2"/>
  <c r="I565" i="2"/>
  <c r="I916" i="2"/>
  <c r="I343" i="2"/>
  <c r="I540" i="2"/>
  <c r="I628" i="2"/>
  <c r="I976" i="2"/>
  <c r="I923" i="2"/>
  <c r="I330" i="2"/>
  <c r="I420" i="2"/>
  <c r="I229" i="2"/>
  <c r="I13" i="2"/>
  <c r="I939" i="2"/>
  <c r="I955" i="2"/>
  <c r="I159" i="2"/>
  <c r="I312" i="2"/>
  <c r="I626" i="2"/>
  <c r="I582" i="2"/>
  <c r="I726" i="2"/>
  <c r="I180" i="2"/>
  <c r="I869" i="2"/>
  <c r="I638" i="2"/>
  <c r="I268" i="2"/>
  <c r="I189" i="2"/>
  <c r="I874" i="2"/>
  <c r="I162" i="2"/>
  <c r="I35" i="2"/>
  <c r="I687" i="2"/>
  <c r="I833" i="2"/>
  <c r="I88" i="2"/>
  <c r="I450" i="2"/>
  <c r="I970" i="2"/>
  <c r="I409" i="2"/>
  <c r="I228" i="2"/>
  <c r="I248" i="2"/>
  <c r="I510" i="2"/>
  <c r="I317" i="2"/>
  <c r="I819" i="2"/>
  <c r="I241" i="2"/>
  <c r="I14" i="2"/>
  <c r="I371" i="2"/>
  <c r="I733" i="2"/>
  <c r="I522" i="2"/>
  <c r="I669" i="2"/>
  <c r="I986" i="2"/>
  <c r="I267" i="2"/>
  <c r="I1004" i="2"/>
  <c r="I837" i="2"/>
  <c r="I487" i="2"/>
  <c r="I212" i="2"/>
  <c r="I645" i="2"/>
  <c r="I104" i="2"/>
  <c r="I203" i="2"/>
  <c r="I286" i="2"/>
  <c r="I516" i="2"/>
  <c r="I264" i="2"/>
  <c r="I838" i="2"/>
  <c r="I578" i="2"/>
  <c r="I152" i="2"/>
  <c r="I202" i="2"/>
  <c r="I221" i="2"/>
  <c r="I987" i="2"/>
  <c r="I222" i="2"/>
  <c r="I223" i="2"/>
  <c r="I765" i="2"/>
  <c r="I741" i="2"/>
  <c r="I128" i="2"/>
  <c r="I444" i="2"/>
  <c r="I881" i="2"/>
  <c r="I61" i="2"/>
  <c r="I269" i="2"/>
  <c r="I981" i="2"/>
  <c r="I351" i="2"/>
  <c r="I204" i="2"/>
  <c r="I975" i="2"/>
  <c r="I436" i="2"/>
  <c r="I216" i="2"/>
  <c r="I996" i="2"/>
  <c r="I213" i="2"/>
  <c r="I823" i="2"/>
  <c r="I503" i="2"/>
  <c r="I407" i="2"/>
  <c r="I606" i="2"/>
  <c r="I22" i="2"/>
  <c r="I499" i="2"/>
  <c r="I714" i="2"/>
  <c r="I71" i="2"/>
  <c r="I413" i="2"/>
  <c r="I920" i="2"/>
  <c r="I754" i="2"/>
  <c r="I507" i="2"/>
  <c r="I74" i="2"/>
  <c r="I721" i="2"/>
  <c r="I524" i="2"/>
  <c r="I397" i="2"/>
  <c r="I233" i="2"/>
  <c r="I945" i="2"/>
  <c r="I655" i="2"/>
  <c r="I627" i="2"/>
  <c r="I795" i="2"/>
  <c r="I25" i="2"/>
  <c r="I134" i="2"/>
  <c r="I324" i="2"/>
  <c r="I946" i="2"/>
  <c r="I778" i="2"/>
  <c r="I612" i="2"/>
  <c r="I164" i="2"/>
  <c r="I541" i="2"/>
  <c r="I244" i="2"/>
  <c r="I64" i="2"/>
  <c r="I137" i="2"/>
  <c r="I862" i="2"/>
  <c r="I306" i="2"/>
  <c r="I665" i="2"/>
  <c r="I794" i="2"/>
  <c r="I105" i="2"/>
  <c r="I770" i="2"/>
  <c r="I383" i="2"/>
  <c r="I883" i="2"/>
  <c r="I704" i="2"/>
  <c r="I830" i="2"/>
  <c r="I318" i="2"/>
  <c r="I322" i="2"/>
  <c r="I90" i="2"/>
  <c r="I108" i="2"/>
  <c r="I673" i="2"/>
  <c r="I826" i="2"/>
  <c r="I148" i="2"/>
  <c r="I177" i="2"/>
  <c r="I186" i="2"/>
  <c r="I774" i="2"/>
  <c r="I146" i="2"/>
  <c r="I19" i="2"/>
  <c r="I686" i="2"/>
  <c r="I296" i="2"/>
  <c r="I493" i="2"/>
  <c r="I703" i="2"/>
  <c r="I68" i="2"/>
  <c r="I408" i="2"/>
  <c r="I915" i="2"/>
  <c r="I722" i="2"/>
  <c r="I441" i="2"/>
  <c r="I668" i="2"/>
  <c r="I749" i="2"/>
  <c r="I871" i="2"/>
  <c r="I634" i="2"/>
  <c r="I559" i="2"/>
  <c r="I868" i="2"/>
  <c r="I274" i="2"/>
  <c r="I183" i="2"/>
  <c r="I753" i="2"/>
  <c r="I100" i="2"/>
  <c r="I429" i="2"/>
  <c r="I623" i="2"/>
  <c r="I290" i="2"/>
  <c r="I422" i="2"/>
  <c r="I479" i="2"/>
  <c r="I876" i="2"/>
  <c r="I190" i="2"/>
  <c r="I482" i="2"/>
  <c r="I880" i="2"/>
  <c r="I526" i="2"/>
  <c r="I603" i="2"/>
  <c r="I201" i="2"/>
  <c r="I31" i="2"/>
  <c r="I512" i="2"/>
  <c r="I736" i="2"/>
  <c r="I33" i="2"/>
  <c r="I224" i="2"/>
  <c r="I263" i="2"/>
  <c r="I567" i="2"/>
  <c r="I461" i="2"/>
  <c r="I1001" i="2"/>
  <c r="I220" i="2"/>
  <c r="I477" i="2"/>
  <c r="I930" i="2"/>
  <c r="I489" i="2"/>
  <c r="I959" i="2"/>
  <c r="I563" i="2"/>
  <c r="I133" i="2"/>
  <c r="I16" i="2"/>
  <c r="I101" i="2"/>
  <c r="I816" i="2"/>
  <c r="I313" i="2"/>
  <c r="I779" i="2"/>
  <c r="I434" i="2"/>
  <c r="I517" i="2"/>
  <c r="I807" i="2"/>
  <c r="I347" i="2"/>
  <c r="I586" i="2"/>
  <c r="I466" i="2"/>
  <c r="I325" i="2"/>
  <c r="I438" i="2"/>
  <c r="I457" i="2"/>
  <c r="I781" i="2"/>
  <c r="I130" i="2"/>
  <c r="I360" i="2"/>
  <c r="I674" i="2"/>
  <c r="I390" i="2"/>
  <c r="I305" i="2"/>
  <c r="I63" i="2"/>
  <c r="I87" i="2"/>
  <c r="I509" i="2"/>
  <c r="I200" i="2"/>
  <c r="I689" i="2"/>
  <c r="I126" i="2"/>
  <c r="I282" i="2"/>
  <c r="I252" i="2"/>
  <c r="I832" i="2"/>
  <c r="I566" i="2"/>
  <c r="I762" i="2"/>
  <c r="I297" i="2"/>
  <c r="I314" i="2"/>
  <c r="I39" i="2"/>
  <c r="I462" i="2"/>
  <c r="I453" i="2"/>
  <c r="I907" i="2"/>
  <c r="I214" i="2"/>
  <c r="I663" i="2"/>
  <c r="I182" i="2"/>
  <c r="I260" i="2"/>
  <c r="I551" i="2"/>
  <c r="I449" i="2"/>
  <c r="I992" i="2"/>
  <c r="I913" i="2"/>
  <c r="I38" i="2"/>
  <c r="I558" i="2"/>
  <c r="I878" i="2"/>
  <c r="I398" i="2"/>
  <c r="I12" i="2"/>
  <c r="I717" i="2"/>
  <c r="I452" i="2"/>
  <c r="I694" i="2"/>
  <c r="I940" i="2"/>
  <c r="I27" i="2"/>
  <c r="I660" i="2"/>
  <c r="I468" i="2"/>
  <c r="I51" i="2"/>
  <c r="I374" i="2"/>
  <c r="I539" i="2"/>
  <c r="I1006" i="2"/>
  <c r="I80" i="2"/>
  <c r="I575" i="2"/>
  <c r="I1005" i="2"/>
  <c r="I846" i="2"/>
  <c r="I580" i="2"/>
  <c r="I136" i="2"/>
  <c r="I307" i="2"/>
  <c r="I592" i="2"/>
  <c r="I18" i="2"/>
  <c r="I206" i="2"/>
  <c r="I732" i="2"/>
  <c r="I451" i="2"/>
  <c r="I898" i="2"/>
  <c r="I654" i="2"/>
  <c r="I11" i="2"/>
  <c r="H11" i="2"/>
  <c r="F8" i="2" s="1"/>
  <c r="G8" i="2"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
    <bk>
      <extLst>
        <ext uri="{3e2802c4-a4d2-4d8b-9148-e3be6c30e623}">
          <xlrd:rvb i="2"/>
        </ext>
      </extLst>
    </bk>
    <bk>
      <extLst>
        <ext uri="{3e2802c4-a4d2-4d8b-9148-e3be6c30e623}">
          <xlrd:rvb i="5"/>
        </ext>
      </extLst>
    </bk>
  </futureMetadata>
  <futureMetadata name="XLDAPR" count="1">
    <bk>
      <extLst>
        <ext uri="{bdbb8cdc-fa1e-496e-a857-3c3f30c029c3}">
          <xda:dynamicArrayProperties fDynamic="1" fCollapsed="0"/>
        </ext>
      </extLst>
    </bk>
  </futureMetadata>
  <cellMetadata count="1">
    <bk>
      <rc t="2" v="0"/>
    </bk>
  </cellMetadata>
  <valueMetadata count="2">
    <bk>
      <rc t="1" v="0"/>
    </bk>
    <bk>
      <rc t="1" v="1"/>
    </bk>
  </valueMetadata>
</metadata>
</file>

<file path=xl/sharedStrings.xml><?xml version="1.0" encoding="utf-8"?>
<sst xmlns="http://schemas.openxmlformats.org/spreadsheetml/2006/main" count="62" uniqueCount="52">
  <si>
    <t>Black-Scholes Model</t>
  </si>
  <si>
    <t>Inputs</t>
  </si>
  <si>
    <t>Calculations</t>
  </si>
  <si>
    <t>Underlying Price</t>
  </si>
  <si>
    <t>S</t>
  </si>
  <si>
    <t xml:space="preserve">Call </t>
  </si>
  <si>
    <t>c</t>
  </si>
  <si>
    <t>Strike Price</t>
  </si>
  <si>
    <t>K</t>
  </si>
  <si>
    <t>Put</t>
  </si>
  <si>
    <t>p</t>
  </si>
  <si>
    <t>Time to Expiration</t>
  </si>
  <si>
    <t>T</t>
  </si>
  <si>
    <t>Risk Free Rate</t>
  </si>
  <si>
    <t>r</t>
  </si>
  <si>
    <t>d1</t>
  </si>
  <si>
    <t>Volatility</t>
  </si>
  <si>
    <t>σ</t>
  </si>
  <si>
    <t>d2</t>
  </si>
  <si>
    <t>Binomial Options Pricing Model</t>
  </si>
  <si>
    <t>Stock</t>
  </si>
  <si>
    <t>Step 1</t>
  </si>
  <si>
    <t>Step 2</t>
  </si>
  <si>
    <t>Step 3</t>
  </si>
  <si>
    <t>Stock Price</t>
  </si>
  <si>
    <t xml:space="preserve">Strike </t>
  </si>
  <si>
    <t>Type</t>
  </si>
  <si>
    <t>Call</t>
  </si>
  <si>
    <t>Interest Rate</t>
  </si>
  <si>
    <t xml:space="preserve">Volatility </t>
  </si>
  <si>
    <t xml:space="preserve"> </t>
  </si>
  <si>
    <t>Dividends</t>
  </si>
  <si>
    <t>Time to Maturity in Years</t>
  </si>
  <si>
    <t>Binomial Steps</t>
  </si>
  <si>
    <t>U</t>
  </si>
  <si>
    <t>D</t>
  </si>
  <si>
    <t xml:space="preserve">Step 2 </t>
  </si>
  <si>
    <t>P</t>
  </si>
  <si>
    <t>Option Price</t>
  </si>
  <si>
    <t>Monte Carlo Simulation</t>
  </si>
  <si>
    <t>Long</t>
  </si>
  <si>
    <t>Center Price</t>
  </si>
  <si>
    <t>Annual Return</t>
  </si>
  <si>
    <t>Value</t>
  </si>
  <si>
    <t>Annual Volatility</t>
  </si>
  <si>
    <t>Current Date</t>
  </si>
  <si>
    <t xml:space="preserve">Simulation </t>
  </si>
  <si>
    <t>Return</t>
  </si>
  <si>
    <t>Price</t>
  </si>
  <si>
    <t>Simulated Payoff</t>
  </si>
  <si>
    <t>Maturity Date</t>
  </si>
  <si>
    <t xml:space="preserve">Time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</si>
</sst>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43" formatCode="_(* #,##0.00_);_(* \(#,##0.00\);_(* &quot;-&quot;??_);_(@_)"/>
    <numFmt numFmtId="164" formatCode="0.0"/>
    <numFmt numFmtId="165" formatCode="0.0000"/>
    <numFmt numFmtId="166" formatCode="&quot;$&quot;#,##0.00"/>
    <numFmt numFmtId="167" formatCode="_([$$-409]* #,##0.00_);_([$$-409]* \(#,##0.00\);_([$$-409]* &quot;-&quot;??_);_(@_)"/>
    <numFmt numFmtId="168" formatCode="_(&quot;$&quot;* #,##0.0000_);_(&quot;$&quot;* \(#,##0.0000\);_(&quot;$&quot;* &quot;-&quot;??_);_(@_)"/>
    <numFmt numFmtId="169" formatCode="_(&quot;$&quot;* #,##0.00000_);_(&quot;$&quot;* \(#,##0.00000\);_(&quot;$&quot;* &quot;-&quot;??_);_(@_)"/>
  </numFmts>
  <fonts count="3" x14ac:knownFonts="1">
    <font>
      <sz val="11"/>
      <color theme="1"/>
      <name val="Aptos Narrow"/>
      <family val="2"/>
      <scheme val="minor"/>
    </font>
    <font>
      <sz val="11"/>
      <color theme="1"/>
      <name val="Aptos Narrow"/>
      <family val="2"/>
      <scheme val="minor"/>
    </font>
    <font>
      <sz val="11"/>
      <color theme="1"/>
      <name val="Aptos Narrow"/>
      <family val="2"/>
    </font>
  </fonts>
  <fills count="2">
    <fill>
      <patternFill patternType="none"/>
    </fill>
    <fill>
      <patternFill patternType="gray125"/>
    </fill>
  </fills>
  <borders count="30">
    <border>
      <left/>
      <right/>
      <top/>
      <bottom/>
      <diagonal/>
    </border>
    <border>
      <left/>
      <right style="thin">
        <color indexed="64"/>
      </right>
      <top/>
      <bottom/>
      <diagonal/>
    </border>
    <border>
      <left style="thin">
        <color indexed="64"/>
      </left>
      <right style="thin">
        <color indexed="64"/>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top style="thick">
        <color indexed="64"/>
      </top>
      <bottom/>
      <diagonal/>
    </border>
    <border>
      <left style="thin">
        <color indexed="64"/>
      </left>
      <right style="thin">
        <color indexed="64"/>
      </right>
      <top style="thick">
        <color indexed="64"/>
      </top>
      <bottom/>
      <diagonal/>
    </border>
    <border>
      <left style="thick">
        <color indexed="64"/>
      </left>
      <right style="thin">
        <color indexed="64"/>
      </right>
      <top style="thick">
        <color indexed="64"/>
      </top>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right style="thick">
        <color indexed="64"/>
      </right>
      <top/>
      <bottom style="thin">
        <color indexed="64"/>
      </bottom>
      <diagonal/>
    </border>
    <border>
      <left/>
      <right style="thick">
        <color indexed="64"/>
      </right>
      <top style="thick">
        <color indexed="64"/>
      </top>
      <bottom style="thin">
        <color indexed="64"/>
      </bottom>
      <diagonal/>
    </border>
    <border>
      <left/>
      <right/>
      <top/>
      <bottom style="thin">
        <color indexed="64"/>
      </bottom>
      <diagonal/>
    </border>
    <border>
      <left/>
      <right/>
      <top style="thick">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right style="thin">
        <color indexed="64"/>
      </right>
      <top style="thick">
        <color indexed="64"/>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02">
    <xf numFmtId="0" fontId="0" fillId="0" borderId="0" xfId="0"/>
    <xf numFmtId="0" fontId="0" fillId="0" borderId="2" xfId="0" applyBorder="1" applyAlignment="1">
      <alignment horizontal="center" vertical="center"/>
    </xf>
    <xf numFmtId="0" fontId="0" fillId="0" borderId="2" xfId="0" applyBorder="1"/>
    <xf numFmtId="0" fontId="0" fillId="0" borderId="3" xfId="0" applyBorder="1"/>
    <xf numFmtId="0" fontId="0" fillId="0" borderId="4" xfId="0" applyBorder="1"/>
    <xf numFmtId="0" fontId="0" fillId="0" borderId="5" xfId="0" applyBorder="1"/>
    <xf numFmtId="0" fontId="0" fillId="0" borderId="7" xfId="0" applyBorder="1"/>
    <xf numFmtId="0" fontId="2" fillId="0" borderId="10" xfId="0" applyFont="1" applyBorder="1" applyAlignment="1">
      <alignment horizontal="center" vertical="center"/>
    </xf>
    <xf numFmtId="0" fontId="0" fillId="0" borderId="11" xfId="0" applyBorder="1"/>
    <xf numFmtId="0" fontId="0" fillId="0" borderId="10" xfId="0" applyBorder="1"/>
    <xf numFmtId="0" fontId="0" fillId="0" borderId="1" xfId="0" applyBorder="1"/>
    <xf numFmtId="0" fontId="0" fillId="0" borderId="9" xfId="0" applyBorder="1"/>
    <xf numFmtId="0" fontId="0" fillId="0" borderId="12" xfId="0" applyBorder="1"/>
    <xf numFmtId="0" fontId="0" fillId="0" borderId="17" xfId="0" applyBorder="1"/>
    <xf numFmtId="0" fontId="0" fillId="0" borderId="18" xfId="0" applyBorder="1"/>
    <xf numFmtId="0" fontId="0" fillId="0" borderId="8" xfId="0" applyBorder="1"/>
    <xf numFmtId="44" fontId="0" fillId="0" borderId="7" xfId="1" applyFont="1" applyBorder="1" applyAlignment="1">
      <alignment horizontal="center" vertical="center"/>
    </xf>
    <xf numFmtId="164" fontId="0" fillId="0" borderId="7" xfId="0" applyNumberFormat="1" applyBorder="1" applyAlignment="1">
      <alignment horizontal="center" vertical="center"/>
    </xf>
    <xf numFmtId="10" fontId="0" fillId="0" borderId="12" xfId="2" applyNumberFormat="1" applyFont="1" applyBorder="1" applyAlignment="1">
      <alignment horizontal="center" vertical="center"/>
    </xf>
    <xf numFmtId="3" fontId="0" fillId="0" borderId="0" xfId="0" applyNumberFormat="1" applyAlignment="1">
      <alignment horizontal="center" vertical="center"/>
    </xf>
    <xf numFmtId="0" fontId="0" fillId="0" borderId="11" xfId="0" applyBorder="1" applyAlignment="1">
      <alignment horizontal="center" vertical="center"/>
    </xf>
    <xf numFmtId="0" fontId="0" fillId="0" borderId="8" xfId="0" applyBorder="1" applyAlignment="1">
      <alignment horizontal="center" vertical="center"/>
    </xf>
    <xf numFmtId="44" fontId="0" fillId="0" borderId="0" xfId="0" applyNumberFormat="1"/>
    <xf numFmtId="0" fontId="0" fillId="0" borderId="12" xfId="0" applyBorder="1" applyAlignment="1">
      <alignment horizontal="center" vertical="center"/>
    </xf>
    <xf numFmtId="167" fontId="0" fillId="0" borderId="14" xfId="0" applyNumberFormat="1" applyBorder="1" applyAlignment="1">
      <alignment horizontal="center" vertical="center"/>
    </xf>
    <xf numFmtId="0" fontId="0" fillId="0" borderId="15" xfId="0" applyBorder="1"/>
    <xf numFmtId="0" fontId="0" fillId="0" borderId="19" xfId="0" applyBorder="1"/>
    <xf numFmtId="44" fontId="0" fillId="0" borderId="19" xfId="0" applyNumberFormat="1" applyBorder="1"/>
    <xf numFmtId="168" fontId="0" fillId="0" borderId="19" xfId="0" applyNumberFormat="1" applyBorder="1"/>
    <xf numFmtId="44" fontId="0" fillId="0" borderId="22" xfId="0" applyNumberFormat="1" applyBorder="1"/>
    <xf numFmtId="169" fontId="0" fillId="0" borderId="19" xfId="0" applyNumberFormat="1" applyBorder="1"/>
    <xf numFmtId="0" fontId="0" fillId="0" borderId="23" xfId="0" applyBorder="1"/>
    <xf numFmtId="0" fontId="0" fillId="0" borderId="24" xfId="0" applyBorder="1"/>
    <xf numFmtId="0" fontId="0" fillId="0" borderId="26" xfId="0" applyBorder="1"/>
    <xf numFmtId="3" fontId="0" fillId="0" borderId="0" xfId="0" applyNumberFormat="1"/>
    <xf numFmtId="9" fontId="0" fillId="0" borderId="0" xfId="2" applyFont="1" applyFill="1" applyBorder="1" applyAlignment="1">
      <alignment horizontal="center" vertical="center"/>
    </xf>
    <xf numFmtId="167" fontId="0" fillId="0" borderId="0" xfId="0" applyNumberFormat="1"/>
    <xf numFmtId="4" fontId="0" fillId="0" borderId="0" xfId="0" applyNumberFormat="1"/>
    <xf numFmtId="4" fontId="0" fillId="0" borderId="0" xfId="0" applyNumberFormat="1" applyAlignment="1">
      <alignment horizontal="center" vertical="center"/>
    </xf>
    <xf numFmtId="10" fontId="0" fillId="0" borderId="0" xfId="2" applyNumberFormat="1" applyFont="1"/>
    <xf numFmtId="14" fontId="0" fillId="0" borderId="0" xfId="0" applyNumberFormat="1"/>
    <xf numFmtId="10" fontId="0" fillId="0" borderId="11" xfId="2" applyNumberFormat="1" applyFont="1" applyBorder="1"/>
    <xf numFmtId="166" fontId="0" fillId="0" borderId="0" xfId="0" applyNumberFormat="1"/>
    <xf numFmtId="166" fontId="0" fillId="0" borderId="11" xfId="0" applyNumberFormat="1" applyBorder="1"/>
    <xf numFmtId="10" fontId="0" fillId="0" borderId="0" xfId="2" applyNumberFormat="1" applyFont="1" applyBorder="1"/>
    <xf numFmtId="167" fontId="0" fillId="0" borderId="0" xfId="0" applyNumberFormat="1" applyAlignment="1">
      <alignment horizontal="center" vertical="center"/>
    </xf>
    <xf numFmtId="168" fontId="0" fillId="0" borderId="0" xfId="0" applyNumberFormat="1"/>
    <xf numFmtId="169" fontId="0" fillId="0" borderId="0" xfId="0" applyNumberFormat="1"/>
    <xf numFmtId="0" fontId="0" fillId="0" borderId="0" xfId="0"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10" fontId="0" fillId="0" borderId="7" xfId="2" applyNumberFormat="1" applyFont="1" applyBorder="1" applyAlignment="1">
      <alignment horizontal="center" vertical="center"/>
    </xf>
    <xf numFmtId="44" fontId="0" fillId="0" borderId="0" xfId="0" applyNumberFormat="1" applyAlignment="1">
      <alignment horizontal="center"/>
    </xf>
    <xf numFmtId="0" fontId="0" fillId="0" borderId="0" xfId="0"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2" fontId="0" fillId="0" borderId="0" xfId="0" applyNumberFormat="1" applyAlignment="1">
      <alignment horizontal="center" vertical="center"/>
    </xf>
    <xf numFmtId="166" fontId="0" fillId="0" borderId="0" xfId="3" applyNumberFormat="1" applyFont="1" applyBorder="1" applyAlignment="1">
      <alignment horizontal="center" vertical="center"/>
    </xf>
    <xf numFmtId="10" fontId="0" fillId="0" borderId="0" xfId="2" applyNumberFormat="1" applyFont="1" applyBorder="1" applyAlignment="1">
      <alignment horizontal="center" vertical="center"/>
    </xf>
    <xf numFmtId="0" fontId="0" fillId="0" borderId="7" xfId="0" applyBorder="1" applyAlignment="1">
      <alignment horizontal="center"/>
    </xf>
    <xf numFmtId="166" fontId="0" fillId="0" borderId="0" xfId="1" applyNumberFormat="1" applyFont="1" applyBorder="1" applyAlignment="1">
      <alignment horizontal="center" vertical="center"/>
    </xf>
    <xf numFmtId="0" fontId="0" fillId="0" borderId="14"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0" fillId="0" borderId="3" xfId="0" applyBorder="1" applyAlignment="1">
      <alignment horizontal="center"/>
    </xf>
    <xf numFmtId="0" fontId="0" fillId="0" borderId="29" xfId="0" applyBorder="1" applyAlignment="1">
      <alignment horizontal="center"/>
    </xf>
    <xf numFmtId="0" fontId="0" fillId="0" borderId="6" xfId="0" applyBorder="1" applyAlignment="1">
      <alignment horizontal="center"/>
    </xf>
    <xf numFmtId="0" fontId="0" fillId="0" borderId="1" xfId="0" applyBorder="1" applyAlignment="1">
      <alignment horizontal="center"/>
    </xf>
    <xf numFmtId="0" fontId="0" fillId="0" borderId="14" xfId="0" applyBorder="1" applyAlignment="1">
      <alignment horizontal="center"/>
    </xf>
    <xf numFmtId="0" fontId="0" fillId="0" borderId="13" xfId="0" applyBorder="1" applyAlignment="1">
      <alignment horizontal="center"/>
    </xf>
    <xf numFmtId="0" fontId="0" fillId="0" borderId="15"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166" fontId="0" fillId="0" borderId="16" xfId="1" applyNumberFormat="1" applyFont="1" applyBorder="1" applyAlignment="1">
      <alignment horizontal="center" vertical="center"/>
    </xf>
    <xf numFmtId="166" fontId="0" fillId="0" borderId="5" xfId="1" applyNumberFormat="1" applyFont="1" applyBorder="1" applyAlignment="1">
      <alignment horizontal="center" vertical="center"/>
    </xf>
    <xf numFmtId="166" fontId="0" fillId="0" borderId="0" xfId="0" applyNumberFormat="1" applyAlignment="1">
      <alignment horizontal="center"/>
    </xf>
    <xf numFmtId="166" fontId="0" fillId="0" borderId="7" xfId="0" applyNumberFormat="1" applyBorder="1" applyAlignment="1">
      <alignment horizontal="center"/>
    </xf>
    <xf numFmtId="165" fontId="0" fillId="0" borderId="0" xfId="0" applyNumberFormat="1" applyAlignment="1">
      <alignment horizontal="center"/>
    </xf>
    <xf numFmtId="165" fontId="0" fillId="0" borderId="7" xfId="0" applyNumberFormat="1" applyBorder="1" applyAlignment="1">
      <alignment horizontal="center"/>
    </xf>
    <xf numFmtId="165" fontId="0" fillId="0" borderId="11" xfId="0" applyNumberFormat="1" applyBorder="1" applyAlignment="1">
      <alignment horizontal="center"/>
    </xf>
    <xf numFmtId="165" fontId="0" fillId="0" borderId="12" xfId="0" applyNumberFormat="1" applyBorder="1" applyAlignment="1">
      <alignment horizontal="center"/>
    </xf>
    <xf numFmtId="166" fontId="0" fillId="0" borderId="4" xfId="1" applyNumberFormat="1" applyFont="1" applyBorder="1" applyAlignment="1">
      <alignment horizontal="center" vertical="center"/>
    </xf>
    <xf numFmtId="166" fontId="0" fillId="0" borderId="0" xfId="1" applyNumberFormat="1" applyFont="1" applyAlignment="1">
      <alignment horizontal="center" vertical="center"/>
    </xf>
    <xf numFmtId="166" fontId="0" fillId="0" borderId="7" xfId="1" applyNumberFormat="1" applyFont="1" applyBorder="1" applyAlignment="1">
      <alignment horizontal="center" vertical="center"/>
    </xf>
    <xf numFmtId="0" fontId="0" fillId="0" borderId="7" xfId="0" applyBorder="1" applyAlignment="1">
      <alignment horizontal="center" vertical="center"/>
    </xf>
    <xf numFmtId="10" fontId="0" fillId="0" borderId="0" xfId="2" applyNumberFormat="1" applyFont="1" applyAlignment="1">
      <alignment horizontal="center" vertical="center"/>
    </xf>
    <xf numFmtId="10" fontId="0" fillId="0" borderId="7" xfId="2" applyNumberFormat="1" applyFont="1" applyBorder="1" applyAlignment="1">
      <alignment horizontal="center" vertical="center"/>
    </xf>
    <xf numFmtId="166" fontId="0" fillId="0" borderId="0" xfId="3" applyNumberFormat="1" applyFont="1" applyAlignment="1">
      <alignment horizontal="center" vertical="center"/>
    </xf>
    <xf numFmtId="166" fontId="0" fillId="0" borderId="7" xfId="3" applyNumberFormat="1" applyFont="1" applyBorder="1" applyAlignment="1">
      <alignment horizontal="center" vertical="center"/>
    </xf>
    <xf numFmtId="44" fontId="0" fillId="0" borderId="3" xfId="0" applyNumberFormat="1" applyBorder="1" applyAlignment="1">
      <alignment horizontal="center"/>
    </xf>
    <xf numFmtId="44" fontId="0" fillId="0" borderId="6" xfId="0" applyNumberFormat="1" applyBorder="1" applyAlignment="1">
      <alignment horizontal="center"/>
    </xf>
    <xf numFmtId="44" fontId="0" fillId="0" borderId="8" xfId="0" applyNumberFormat="1" applyBorder="1" applyAlignment="1">
      <alignment horizontal="center"/>
    </xf>
    <xf numFmtId="0" fontId="0" fillId="0" borderId="4" xfId="0" applyBorder="1" applyAlignment="1">
      <alignment horizontal="center"/>
    </xf>
    <xf numFmtId="0" fontId="0" fillId="0" borderId="11" xfId="0" applyBorder="1" applyAlignment="1">
      <alignment horizont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7" xfId="0" applyBorder="1" applyAlignment="1">
      <alignment horizontal="center"/>
    </xf>
    <xf numFmtId="0" fontId="0" fillId="0" borderId="28" xfId="0" applyBorder="1" applyAlignment="1">
      <alignment horizontal="center"/>
    </xf>
    <xf numFmtId="0" fontId="0" fillId="0" borderId="25" xfId="0" applyBorder="1" applyAlignment="1">
      <alignment horizontal="center"/>
    </xf>
    <xf numFmtId="0" fontId="0" fillId="0" borderId="12" xfId="0" applyBorder="1" applyAlignment="1">
      <alignment horizontal="center"/>
    </xf>
    <xf numFmtId="2" fontId="0" fillId="0" borderId="7" xfId="0" applyNumberFormat="1" applyBorder="1" applyAlignment="1">
      <alignment horizontal="center" vertical="center"/>
    </xf>
  </cellXfs>
  <cellStyles count="4">
    <cellStyle name="Comma" xfId="3" builtinId="3"/>
    <cellStyle name="Currency" xfId="1" builtinId="4"/>
    <cellStyle name="Normal" xfId="0" builtinId="0"/>
    <cellStyle name="Percent" xfId="2" builtinId="5"/>
  </cellStyles>
  <dxfs count="0"/>
  <tableStyles count="1" defaultTableStyle="TableStyleMedium2" defaultPivotStyle="PivotStyleLight16">
    <tableStyle name="Invisible" pivot="0" table="0" count="0" xr9:uid="{286FEB0D-B9F1-4ACA-A6C8-FAB34ECEF30A}"/>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ustomXml" Target="../customXml/item1.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6">
  <rv s="0">
    <v>https://www.bing.com/financeapi/forcetrigger?t=a1mou2&amp;q=XNAS%3aAAPL&amp;form=skydnc</v>
    <v>Learn more on Bing</v>
  </rv>
  <rv s="1">
    <v>en-US</v>
    <v>a1mou2</v>
    <v>268435456</v>
    <v>1</v>
    <v>Powered by Refinitiv</v>
    <v>0</v>
    <v>APPLE INC. (XNAS:AAPL)</v>
    <v>2</v>
    <v>3</v>
    <v>Finance</v>
    <v>4</v>
    <v>265.29000000000002</v>
    <v>169.21010000000001</v>
    <v>1.0826</v>
    <v>1.355</v>
    <v>5.2430000000000003E-3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260.61989999999997</v>
    <v>Computers, Phones &amp; Household Electronics</v>
    <v>Stock</v>
    <v>45953.723797719533</v>
    <v>0</v>
    <v>258.01010000000002</v>
    <v>3899609000000</v>
    <v>APPLE INC.</v>
    <v>APPLE INC.</v>
    <v>260</v>
    <v>35.8337</v>
    <v>258.45</v>
    <v>259.80500000000001</v>
    <v>14840390000</v>
    <v>AAPL</v>
    <v>APPLE INC. (XNAS:AAPL)</v>
    <v>14620616</v>
    <v>53110715</v>
    <v>1977</v>
  </rv>
  <rv s="2">
    <v>1</v>
  </rv>
  <rv s="0">
    <v>https://www.bing.com/financeapi/forcetrigger?t=a1yv52&amp;q=XNAS%3aNVDA&amp;form=skydnc</v>
    <v>Learn more on Bing</v>
  </rv>
  <rv s="1">
    <v>en-US</v>
    <v>a1yv52</v>
    <v>268435456</v>
    <v>1</v>
    <v>Powered by Refinitiv</v>
    <v>0</v>
    <v>NVIDIA CORPORATION (XNAS:NVDA)</v>
    <v>2</v>
    <v>3</v>
    <v>Finance</v>
    <v>4</v>
    <v>195.62</v>
    <v>86.62</v>
    <v>2.1120000000000001</v>
    <v>1.8341000000000001</v>
    <v>1.0174000000000001E-2</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182.5</v>
    <v>Semiconductors &amp; Semiconductor Equipment</v>
    <v>Stock</v>
    <v>45953.723802349217</v>
    <v>3</v>
    <v>179.7901</v>
    <v>4402188000000</v>
    <v>NVIDIA CORPORATION</v>
    <v>NVIDIA CORPORATION</v>
    <v>180.48</v>
    <v>51.832700000000003</v>
    <v>180.28</v>
    <v>182.11410000000001</v>
    <v>24300000000</v>
    <v>NVDA</v>
    <v>NVIDIA CORPORATION (XNAS:NVDA)</v>
    <v>66870013</v>
    <v>178973313</v>
    <v>1998</v>
  </rv>
  <rv s="2">
    <v>4</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78F63-E6F8-40FD-93AB-FB7396382DDE}">
  <sheetPr codeName="Sheet1"/>
  <dimension ref="A1:J1040"/>
  <sheetViews>
    <sheetView workbookViewId="0">
      <selection activeCell="D13" sqref="D13:E13"/>
    </sheetView>
  </sheetViews>
  <sheetFormatPr defaultRowHeight="15" x14ac:dyDescent="0.25"/>
  <cols>
    <col min="1" max="1" width="14.85546875" customWidth="1"/>
    <col min="2" max="2" width="16.28515625" customWidth="1"/>
    <col min="3" max="3" width="7.42578125" customWidth="1"/>
    <col min="4" max="4" width="13.85546875" bestFit="1" customWidth="1"/>
    <col min="5" max="5" width="10.5703125" bestFit="1" customWidth="1"/>
    <col min="6" max="6" width="12.42578125" customWidth="1"/>
    <col min="7" max="7" width="9.7109375" bestFit="1" customWidth="1"/>
    <col min="8" max="8" width="10.140625" bestFit="1" customWidth="1"/>
    <col min="9" max="9" width="9.7109375" bestFit="1" customWidth="1"/>
    <col min="10" max="10" width="12.7109375" bestFit="1" customWidth="1"/>
  </cols>
  <sheetData>
    <row r="1" spans="2:10" ht="15.75" thickBot="1" x14ac:dyDescent="0.3"/>
    <row r="2" spans="2:10" ht="16.5" thickTop="1" thickBot="1" x14ac:dyDescent="0.3">
      <c r="B2" s="3"/>
      <c r="C2" s="4"/>
      <c r="D2" s="4"/>
      <c r="E2" s="61" t="s">
        <v>0</v>
      </c>
      <c r="F2" s="62"/>
      <c r="G2" s="63"/>
      <c r="H2" s="3"/>
      <c r="I2" s="4"/>
      <c r="J2" s="5"/>
    </row>
    <row r="3" spans="2:10" ht="16.5" thickTop="1" thickBot="1" x14ac:dyDescent="0.3">
      <c r="B3" s="15"/>
      <c r="C3" s="8"/>
      <c r="D3" s="8"/>
      <c r="E3" s="8"/>
      <c r="G3" s="8"/>
      <c r="H3" s="8"/>
      <c r="I3" s="8"/>
      <c r="J3" s="12"/>
    </row>
    <row r="4" spans="2:10" ht="16.5" thickTop="1" thickBot="1" x14ac:dyDescent="0.3">
      <c r="B4" s="68" t="s">
        <v>1</v>
      </c>
      <c r="C4" s="69"/>
      <c r="D4" s="69" t="e" vm="1">
        <v>#VALUE!</v>
      </c>
      <c r="E4" s="70"/>
      <c r="F4" s="6"/>
      <c r="G4" s="53" t="s">
        <v>2</v>
      </c>
      <c r="H4" s="53"/>
      <c r="I4" s="53"/>
      <c r="J4" s="59"/>
    </row>
    <row r="5" spans="2:10" ht="15.75" thickTop="1" x14ac:dyDescent="0.25">
      <c r="B5" s="64" t="s">
        <v>3</v>
      </c>
      <c r="C5" s="65"/>
      <c r="D5" s="1" t="s">
        <v>4</v>
      </c>
      <c r="E5" s="16" cm="1">
        <f t="array" aca="1" ref="E5" ca="1">_FV(D4,"Price")</f>
        <v>259.80500000000001</v>
      </c>
      <c r="F5" s="6"/>
      <c r="G5" s="14" t="s">
        <v>5</v>
      </c>
      <c r="H5" s="13" t="s">
        <v>6</v>
      </c>
      <c r="I5" s="73">
        <f ca="1">(S*_xlfn.NORM.DIST(d1_,0,1,TRUE))-(K*(EXP(-r_*T)*_xlfn.NORM.DIST(d2_,0,1,TRUE)))</f>
        <v>52.719842562966036</v>
      </c>
      <c r="J5" s="74"/>
    </row>
    <row r="6" spans="2:10" x14ac:dyDescent="0.25">
      <c r="B6" s="66" t="s">
        <v>7</v>
      </c>
      <c r="C6" s="67"/>
      <c r="D6" s="1" t="s">
        <v>8</v>
      </c>
      <c r="E6" s="16">
        <v>300</v>
      </c>
      <c r="F6" s="6"/>
      <c r="G6" s="10" t="s">
        <v>9</v>
      </c>
      <c r="H6" s="2" t="s">
        <v>10</v>
      </c>
      <c r="I6" s="75">
        <f ca="1">K*EXP(-r_*T)*_xlfn.NORM.DIST(-d2_,0,1,TRUE)-S*_xlfn.NORM.DIST(-d1_,0,1,TRUE)</f>
        <v>35.604251832915978</v>
      </c>
      <c r="J6" s="76"/>
    </row>
    <row r="7" spans="2:10" x14ac:dyDescent="0.25">
      <c r="B7" s="66" t="s">
        <v>11</v>
      </c>
      <c r="C7" s="67"/>
      <c r="D7" s="1" t="s">
        <v>12</v>
      </c>
      <c r="E7" s="17">
        <v>5</v>
      </c>
      <c r="F7" s="6"/>
      <c r="G7" s="10"/>
      <c r="H7" s="2"/>
      <c r="I7" s="53"/>
      <c r="J7" s="59"/>
    </row>
    <row r="8" spans="2:10" x14ac:dyDescent="0.25">
      <c r="B8" s="66" t="s">
        <v>13</v>
      </c>
      <c r="C8" s="67"/>
      <c r="D8" s="1" t="s">
        <v>14</v>
      </c>
      <c r="E8" s="51">
        <v>4.24E-2</v>
      </c>
      <c r="F8" s="6"/>
      <c r="G8" s="10"/>
      <c r="H8" s="2" t="s">
        <v>15</v>
      </c>
      <c r="I8" s="77">
        <f ca="1">(LN(S/K)+(r_+(σ^2)/2)*T)/(σ*(T^0.5))</f>
        <v>0.37472785805372733</v>
      </c>
      <c r="J8" s="78"/>
    </row>
    <row r="9" spans="2:10" ht="15.75" thickBot="1" x14ac:dyDescent="0.3">
      <c r="B9" s="71" t="s">
        <v>16</v>
      </c>
      <c r="C9" s="72"/>
      <c r="D9" s="7" t="s">
        <v>17</v>
      </c>
      <c r="E9" s="18">
        <v>0.1963</v>
      </c>
      <c r="F9" s="12"/>
      <c r="G9" s="11"/>
      <c r="H9" s="9" t="s">
        <v>18</v>
      </c>
      <c r="I9" s="79">
        <f ca="1">I8-σ*(T^0.5)</f>
        <v>-6.4212285929481416E-2</v>
      </c>
      <c r="J9" s="80"/>
    </row>
    <row r="10" spans="2:10" ht="15.75" thickTop="1" x14ac:dyDescent="0.25"/>
    <row r="12" spans="2:10" x14ac:dyDescent="0.25">
      <c r="E12" s="53"/>
      <c r="F12" s="53"/>
      <c r="G12" s="53"/>
    </row>
    <row r="13" spans="2:10" x14ac:dyDescent="0.25">
      <c r="C13" s="45"/>
      <c r="D13" s="53"/>
      <c r="E13" s="53"/>
      <c r="H13" s="48"/>
      <c r="I13" s="48"/>
      <c r="J13" s="48"/>
    </row>
    <row r="14" spans="2:10" x14ac:dyDescent="0.25">
      <c r="C14" s="19"/>
      <c r="D14" s="60"/>
      <c r="E14" s="60"/>
      <c r="F14" s="54"/>
      <c r="G14" s="53"/>
      <c r="H14" s="53"/>
      <c r="J14" s="46"/>
    </row>
    <row r="15" spans="2:10" x14ac:dyDescent="0.25">
      <c r="C15" s="48"/>
      <c r="D15" s="60"/>
      <c r="E15" s="60"/>
      <c r="F15" s="54"/>
      <c r="G15" s="53"/>
      <c r="H15" s="53"/>
      <c r="I15" s="22"/>
    </row>
    <row r="16" spans="2:10" x14ac:dyDescent="0.25">
      <c r="C16" s="48"/>
      <c r="D16" s="54"/>
      <c r="E16" s="54"/>
      <c r="F16" s="54"/>
      <c r="G16" s="53"/>
      <c r="H16" s="22"/>
      <c r="J16" s="46"/>
    </row>
    <row r="17" spans="3:10" x14ac:dyDescent="0.25">
      <c r="C17" s="48"/>
      <c r="D17" s="58"/>
      <c r="E17" s="58"/>
      <c r="F17" s="54"/>
      <c r="G17" s="22"/>
      <c r="I17" s="22"/>
    </row>
    <row r="18" spans="3:10" x14ac:dyDescent="0.25">
      <c r="C18" s="48"/>
      <c r="D18" s="58"/>
      <c r="E18" s="58"/>
      <c r="F18" s="54"/>
      <c r="G18" s="53"/>
      <c r="H18" s="22"/>
      <c r="J18" s="46"/>
    </row>
    <row r="19" spans="3:10" x14ac:dyDescent="0.25">
      <c r="C19" s="48"/>
      <c r="D19" s="57"/>
      <c r="E19" s="57"/>
      <c r="F19" s="54"/>
      <c r="G19" s="53"/>
      <c r="H19" s="53"/>
      <c r="I19" s="22"/>
    </row>
    <row r="20" spans="3:10" x14ac:dyDescent="0.25">
      <c r="C20" s="48"/>
      <c r="D20" s="56"/>
      <c r="E20" s="56"/>
      <c r="F20" s="54"/>
      <c r="G20" s="53"/>
      <c r="H20" s="53"/>
      <c r="J20" s="46"/>
    </row>
    <row r="21" spans="3:10" x14ac:dyDescent="0.25">
      <c r="C21" s="48"/>
      <c r="D21" s="55"/>
      <c r="E21" s="55"/>
    </row>
    <row r="22" spans="3:10" x14ac:dyDescent="0.25">
      <c r="C22" s="48"/>
      <c r="D22" s="53"/>
      <c r="E22" s="53"/>
    </row>
    <row r="23" spans="3:10" x14ac:dyDescent="0.25">
      <c r="C23" s="48"/>
      <c r="D23" s="53"/>
      <c r="E23" s="53"/>
      <c r="H23" s="48"/>
      <c r="I23" s="48"/>
      <c r="J23" s="48"/>
    </row>
    <row r="24" spans="3:10" x14ac:dyDescent="0.25">
      <c r="C24" s="48"/>
      <c r="D24" s="53"/>
      <c r="E24" s="53"/>
      <c r="F24" s="54"/>
      <c r="G24" s="53"/>
      <c r="H24" s="53"/>
      <c r="J24" s="46"/>
    </row>
    <row r="25" spans="3:10" x14ac:dyDescent="0.25">
      <c r="F25" s="54"/>
      <c r="G25" s="53"/>
      <c r="H25" s="53"/>
      <c r="I25" s="22"/>
    </row>
    <row r="26" spans="3:10" x14ac:dyDescent="0.25">
      <c r="D26" s="34"/>
      <c r="E26" s="36"/>
      <c r="F26" s="54"/>
      <c r="G26" s="53"/>
      <c r="H26" s="22"/>
      <c r="I26" s="22"/>
      <c r="J26" s="47"/>
    </row>
    <row r="27" spans="3:10" x14ac:dyDescent="0.25">
      <c r="C27" s="35"/>
      <c r="F27" s="54"/>
      <c r="G27" s="22"/>
      <c r="H27" s="22"/>
      <c r="I27" s="22"/>
    </row>
    <row r="28" spans="3:10" x14ac:dyDescent="0.25">
      <c r="C28" s="48"/>
      <c r="F28" s="54"/>
      <c r="G28" s="52"/>
      <c r="H28" s="22"/>
      <c r="I28" s="22"/>
    </row>
    <row r="29" spans="3:10" x14ac:dyDescent="0.25">
      <c r="C29" s="48"/>
      <c r="F29" s="54"/>
      <c r="G29" s="52"/>
      <c r="H29" s="53"/>
      <c r="I29" s="22"/>
    </row>
    <row r="30" spans="3:10" x14ac:dyDescent="0.25">
      <c r="C30" s="48"/>
      <c r="F30" s="54"/>
      <c r="G30" s="52"/>
      <c r="H30" s="53"/>
    </row>
    <row r="31" spans="3:10" x14ac:dyDescent="0.25">
      <c r="C31" s="48"/>
    </row>
    <row r="32" spans="3:10" x14ac:dyDescent="0.25">
      <c r="C32" s="48"/>
    </row>
    <row r="33" spans="1:8" x14ac:dyDescent="0.25">
      <c r="D33" s="53"/>
      <c r="E33" s="53"/>
      <c r="F33" s="53"/>
    </row>
    <row r="34" spans="1:8" x14ac:dyDescent="0.25">
      <c r="B34" s="48"/>
    </row>
    <row r="35" spans="1:8" x14ac:dyDescent="0.25">
      <c r="B35" s="48"/>
    </row>
    <row r="36" spans="1:8" x14ac:dyDescent="0.25">
      <c r="A36" s="48"/>
      <c r="B36" s="38"/>
      <c r="C36" s="37"/>
      <c r="D36" s="34"/>
    </row>
    <row r="37" spans="1:8" x14ac:dyDescent="0.25">
      <c r="B37" s="48"/>
      <c r="C37" s="44"/>
      <c r="E37" s="42"/>
      <c r="F37" s="42"/>
    </row>
    <row r="38" spans="1:8" x14ac:dyDescent="0.25">
      <c r="B38" s="48"/>
      <c r="C38" s="44"/>
    </row>
    <row r="39" spans="1:8" x14ac:dyDescent="0.25">
      <c r="B39" s="48"/>
      <c r="C39" s="40"/>
      <c r="G39" s="53"/>
      <c r="H39" s="53"/>
    </row>
    <row r="40" spans="1:8" x14ac:dyDescent="0.25">
      <c r="B40" s="48"/>
      <c r="C40" s="40"/>
      <c r="E40" s="44"/>
      <c r="F40" s="42"/>
      <c r="G40" s="42"/>
      <c r="H40" s="42"/>
    </row>
    <row r="41" spans="1:8" x14ac:dyDescent="0.25">
      <c r="B41" s="48"/>
      <c r="E41" s="44"/>
      <c r="F41" s="42"/>
      <c r="G41" s="42"/>
      <c r="H41" s="42"/>
    </row>
    <row r="42" spans="1:8" x14ac:dyDescent="0.25">
      <c r="B42" s="48"/>
      <c r="C42" s="44"/>
      <c r="E42" s="44"/>
      <c r="F42" s="42"/>
      <c r="G42" s="42"/>
      <c r="H42" s="42"/>
    </row>
    <row r="43" spans="1:8" x14ac:dyDescent="0.25">
      <c r="B43" s="48"/>
      <c r="C43" s="44"/>
      <c r="E43" s="44"/>
      <c r="F43" s="42"/>
      <c r="G43" s="42"/>
      <c r="H43" s="42"/>
    </row>
    <row r="44" spans="1:8" x14ac:dyDescent="0.25">
      <c r="E44" s="44"/>
      <c r="F44" s="42"/>
      <c r="G44" s="42"/>
      <c r="H44" s="42"/>
    </row>
    <row r="45" spans="1:8" x14ac:dyDescent="0.25">
      <c r="E45" s="39"/>
      <c r="F45" s="42"/>
      <c r="G45" s="42"/>
      <c r="H45" s="42"/>
    </row>
    <row r="46" spans="1:8" x14ac:dyDescent="0.25">
      <c r="E46" s="39"/>
      <c r="F46" s="42"/>
      <c r="G46" s="42"/>
      <c r="H46" s="42"/>
    </row>
    <row r="47" spans="1:8" x14ac:dyDescent="0.25">
      <c r="E47" s="39"/>
      <c r="F47" s="42"/>
      <c r="G47" s="42"/>
      <c r="H47" s="42"/>
    </row>
    <row r="48" spans="1:8" x14ac:dyDescent="0.25">
      <c r="E48" s="39"/>
      <c r="F48" s="42"/>
      <c r="G48" s="42"/>
      <c r="H48" s="42"/>
    </row>
    <row r="49" spans="5:8" x14ac:dyDescent="0.25">
      <c r="E49" s="39"/>
      <c r="F49" s="42"/>
      <c r="G49" s="42"/>
      <c r="H49" s="42"/>
    </row>
    <row r="50" spans="5:8" x14ac:dyDescent="0.25">
      <c r="E50" s="39"/>
      <c r="F50" s="42"/>
      <c r="G50" s="42"/>
      <c r="H50" s="42"/>
    </row>
    <row r="51" spans="5:8" x14ac:dyDescent="0.25">
      <c r="E51" s="39"/>
      <c r="F51" s="42"/>
      <c r="G51" s="42"/>
      <c r="H51" s="42"/>
    </row>
    <row r="52" spans="5:8" x14ac:dyDescent="0.25">
      <c r="E52" s="39"/>
      <c r="F52" s="42"/>
      <c r="G52" s="42"/>
      <c r="H52" s="42"/>
    </row>
    <row r="53" spans="5:8" x14ac:dyDescent="0.25">
      <c r="E53" s="39"/>
      <c r="F53" s="42"/>
      <c r="G53" s="42"/>
      <c r="H53" s="42"/>
    </row>
    <row r="54" spans="5:8" x14ac:dyDescent="0.25">
      <c r="E54" s="39"/>
      <c r="F54" s="42"/>
      <c r="G54" s="42"/>
      <c r="H54" s="42"/>
    </row>
    <row r="55" spans="5:8" x14ac:dyDescent="0.25">
      <c r="E55" s="39"/>
      <c r="F55" s="42"/>
      <c r="G55" s="42"/>
      <c r="H55" s="42"/>
    </row>
    <row r="56" spans="5:8" x14ac:dyDescent="0.25">
      <c r="E56" s="39"/>
      <c r="F56" s="42"/>
      <c r="G56" s="42"/>
      <c r="H56" s="42"/>
    </row>
    <row r="57" spans="5:8" x14ac:dyDescent="0.25">
      <c r="E57" s="39"/>
      <c r="F57" s="42"/>
      <c r="G57" s="42"/>
      <c r="H57" s="42"/>
    </row>
    <row r="58" spans="5:8" x14ac:dyDescent="0.25">
      <c r="E58" s="39"/>
      <c r="F58" s="42"/>
      <c r="G58" s="42"/>
      <c r="H58" s="42"/>
    </row>
    <row r="59" spans="5:8" x14ac:dyDescent="0.25">
      <c r="E59" s="39"/>
      <c r="F59" s="42"/>
      <c r="G59" s="42"/>
      <c r="H59" s="42"/>
    </row>
    <row r="60" spans="5:8" x14ac:dyDescent="0.25">
      <c r="E60" s="39"/>
      <c r="F60" s="42"/>
      <c r="G60" s="42"/>
      <c r="H60" s="42"/>
    </row>
    <row r="61" spans="5:8" x14ac:dyDescent="0.25">
      <c r="E61" s="39"/>
      <c r="F61" s="42"/>
      <c r="G61" s="42"/>
      <c r="H61" s="42"/>
    </row>
    <row r="62" spans="5:8" x14ac:dyDescent="0.25">
      <c r="E62" s="39"/>
      <c r="F62" s="42"/>
      <c r="G62" s="42"/>
      <c r="H62" s="42"/>
    </row>
    <row r="63" spans="5:8" x14ac:dyDescent="0.25">
      <c r="E63" s="39"/>
      <c r="F63" s="42"/>
      <c r="G63" s="42"/>
      <c r="H63" s="42"/>
    </row>
    <row r="64" spans="5:8" x14ac:dyDescent="0.25">
      <c r="E64" s="39"/>
      <c r="F64" s="42"/>
      <c r="G64" s="42"/>
      <c r="H64" s="42"/>
    </row>
    <row r="65" spans="5:8" x14ac:dyDescent="0.25">
      <c r="E65" s="39"/>
      <c r="F65" s="42"/>
      <c r="G65" s="42"/>
      <c r="H65" s="42"/>
    </row>
    <row r="66" spans="5:8" x14ac:dyDescent="0.25">
      <c r="E66" s="39"/>
      <c r="F66" s="42"/>
      <c r="G66" s="42"/>
      <c r="H66" s="42"/>
    </row>
    <row r="67" spans="5:8" x14ac:dyDescent="0.25">
      <c r="E67" s="39"/>
      <c r="F67" s="42"/>
      <c r="G67" s="42"/>
      <c r="H67" s="42"/>
    </row>
    <row r="68" spans="5:8" x14ac:dyDescent="0.25">
      <c r="E68" s="39"/>
      <c r="F68" s="42"/>
      <c r="G68" s="42"/>
      <c r="H68" s="42"/>
    </row>
    <row r="69" spans="5:8" x14ac:dyDescent="0.25">
      <c r="E69" s="39"/>
      <c r="F69" s="42"/>
      <c r="G69" s="42"/>
      <c r="H69" s="42"/>
    </row>
    <row r="70" spans="5:8" x14ac:dyDescent="0.25">
      <c r="E70" s="39"/>
      <c r="F70" s="42"/>
      <c r="G70" s="42"/>
      <c r="H70" s="42"/>
    </row>
    <row r="71" spans="5:8" x14ac:dyDescent="0.25">
      <c r="E71" s="39"/>
      <c r="F71" s="42"/>
      <c r="G71" s="42"/>
      <c r="H71" s="42"/>
    </row>
    <row r="72" spans="5:8" x14ac:dyDescent="0.25">
      <c r="E72" s="39"/>
      <c r="F72" s="42"/>
      <c r="G72" s="42"/>
      <c r="H72" s="42"/>
    </row>
    <row r="73" spans="5:8" x14ac:dyDescent="0.25">
      <c r="E73" s="39"/>
      <c r="F73" s="42"/>
      <c r="G73" s="42"/>
      <c r="H73" s="42"/>
    </row>
    <row r="74" spans="5:8" x14ac:dyDescent="0.25">
      <c r="E74" s="39"/>
      <c r="F74" s="42"/>
      <c r="G74" s="42"/>
      <c r="H74" s="42"/>
    </row>
    <row r="75" spans="5:8" x14ac:dyDescent="0.25">
      <c r="E75" s="39"/>
      <c r="F75" s="42"/>
      <c r="G75" s="42"/>
      <c r="H75" s="42"/>
    </row>
    <row r="76" spans="5:8" x14ac:dyDescent="0.25">
      <c r="E76" s="39"/>
      <c r="F76" s="42"/>
      <c r="G76" s="42"/>
      <c r="H76" s="42"/>
    </row>
    <row r="77" spans="5:8" x14ac:dyDescent="0.25">
      <c r="E77" s="39"/>
      <c r="F77" s="42"/>
      <c r="G77" s="42"/>
      <c r="H77" s="42"/>
    </row>
    <row r="78" spans="5:8" x14ac:dyDescent="0.25">
      <c r="E78" s="39"/>
      <c r="F78" s="42"/>
      <c r="G78" s="42"/>
      <c r="H78" s="42"/>
    </row>
    <row r="79" spans="5:8" x14ac:dyDescent="0.25">
      <c r="E79" s="39"/>
      <c r="F79" s="42"/>
      <c r="G79" s="42"/>
      <c r="H79" s="42"/>
    </row>
    <row r="80" spans="5:8" x14ac:dyDescent="0.25">
      <c r="E80" s="39"/>
      <c r="F80" s="42"/>
      <c r="G80" s="42"/>
      <c r="H80" s="42"/>
    </row>
    <row r="81" spans="5:8" x14ac:dyDescent="0.25">
      <c r="E81" s="39"/>
      <c r="F81" s="42"/>
      <c r="G81" s="42"/>
      <c r="H81" s="42"/>
    </row>
    <row r="82" spans="5:8" x14ac:dyDescent="0.25">
      <c r="E82" s="39"/>
      <c r="F82" s="42"/>
      <c r="G82" s="42"/>
      <c r="H82" s="42"/>
    </row>
    <row r="83" spans="5:8" x14ac:dyDescent="0.25">
      <c r="E83" s="39"/>
      <c r="F83" s="42"/>
      <c r="G83" s="42"/>
      <c r="H83" s="42"/>
    </row>
    <row r="84" spans="5:8" x14ac:dyDescent="0.25">
      <c r="E84" s="39"/>
      <c r="F84" s="42"/>
      <c r="G84" s="42"/>
      <c r="H84" s="42"/>
    </row>
    <row r="85" spans="5:8" x14ac:dyDescent="0.25">
      <c r="E85" s="39"/>
      <c r="F85" s="42"/>
      <c r="G85" s="42"/>
      <c r="H85" s="42"/>
    </row>
    <row r="86" spans="5:8" x14ac:dyDescent="0.25">
      <c r="E86" s="39"/>
      <c r="F86" s="42"/>
      <c r="G86" s="42"/>
      <c r="H86" s="42"/>
    </row>
    <row r="87" spans="5:8" x14ac:dyDescent="0.25">
      <c r="E87" s="39"/>
      <c r="F87" s="42"/>
      <c r="G87" s="42"/>
      <c r="H87" s="42"/>
    </row>
    <row r="88" spans="5:8" x14ac:dyDescent="0.25">
      <c r="E88" s="39"/>
      <c r="F88" s="42"/>
      <c r="G88" s="42"/>
      <c r="H88" s="42"/>
    </row>
    <row r="89" spans="5:8" x14ac:dyDescent="0.25">
      <c r="E89" s="39"/>
      <c r="F89" s="42"/>
      <c r="G89" s="42"/>
      <c r="H89" s="42"/>
    </row>
    <row r="90" spans="5:8" x14ac:dyDescent="0.25">
      <c r="E90" s="39"/>
      <c r="F90" s="42"/>
      <c r="G90" s="42"/>
      <c r="H90" s="42"/>
    </row>
    <row r="91" spans="5:8" x14ac:dyDescent="0.25">
      <c r="E91" s="39"/>
      <c r="F91" s="42"/>
      <c r="G91" s="42"/>
      <c r="H91" s="42"/>
    </row>
    <row r="92" spans="5:8" x14ac:dyDescent="0.25">
      <c r="E92" s="39"/>
      <c r="F92" s="42"/>
      <c r="G92" s="42"/>
      <c r="H92" s="42"/>
    </row>
    <row r="93" spans="5:8" x14ac:dyDescent="0.25">
      <c r="E93" s="39"/>
      <c r="F93" s="42"/>
      <c r="G93" s="42"/>
      <c r="H93" s="42"/>
    </row>
    <row r="94" spans="5:8" x14ac:dyDescent="0.25">
      <c r="E94" s="39"/>
      <c r="F94" s="42"/>
      <c r="G94" s="42"/>
      <c r="H94" s="42"/>
    </row>
    <row r="95" spans="5:8" x14ac:dyDescent="0.25">
      <c r="E95" s="39"/>
      <c r="F95" s="42"/>
      <c r="G95" s="42"/>
      <c r="H95" s="42"/>
    </row>
    <row r="96" spans="5:8" x14ac:dyDescent="0.25">
      <c r="E96" s="39"/>
      <c r="F96" s="42"/>
      <c r="G96" s="42"/>
      <c r="H96" s="42"/>
    </row>
    <row r="97" spans="5:8" x14ac:dyDescent="0.25">
      <c r="E97" s="39"/>
      <c r="F97" s="42"/>
      <c r="G97" s="42"/>
      <c r="H97" s="42"/>
    </row>
    <row r="98" spans="5:8" x14ac:dyDescent="0.25">
      <c r="E98" s="39"/>
      <c r="F98" s="42"/>
      <c r="G98" s="42"/>
      <c r="H98" s="42"/>
    </row>
    <row r="99" spans="5:8" x14ac:dyDescent="0.25">
      <c r="E99" s="39"/>
      <c r="F99" s="42"/>
      <c r="G99" s="42"/>
      <c r="H99" s="42"/>
    </row>
    <row r="100" spans="5:8" x14ac:dyDescent="0.25">
      <c r="E100" s="39"/>
      <c r="F100" s="42"/>
      <c r="G100" s="42"/>
      <c r="H100" s="42"/>
    </row>
    <row r="101" spans="5:8" x14ac:dyDescent="0.25">
      <c r="E101" s="39"/>
      <c r="F101" s="42"/>
      <c r="G101" s="42"/>
      <c r="H101" s="42"/>
    </row>
    <row r="102" spans="5:8" x14ac:dyDescent="0.25">
      <c r="E102" s="39"/>
      <c r="F102" s="42"/>
      <c r="G102" s="42"/>
      <c r="H102" s="42"/>
    </row>
    <row r="103" spans="5:8" x14ac:dyDescent="0.25">
      <c r="E103" s="39"/>
      <c r="F103" s="42"/>
      <c r="G103" s="42"/>
      <c r="H103" s="42"/>
    </row>
    <row r="104" spans="5:8" x14ac:dyDescent="0.25">
      <c r="E104" s="39"/>
      <c r="F104" s="42"/>
      <c r="G104" s="42"/>
      <c r="H104" s="42"/>
    </row>
    <row r="105" spans="5:8" x14ac:dyDescent="0.25">
      <c r="E105" s="39"/>
      <c r="F105" s="42"/>
      <c r="G105" s="42"/>
      <c r="H105" s="42"/>
    </row>
    <row r="106" spans="5:8" x14ac:dyDescent="0.25">
      <c r="E106" s="39"/>
      <c r="F106" s="42"/>
      <c r="G106" s="42"/>
      <c r="H106" s="42"/>
    </row>
    <row r="107" spans="5:8" x14ac:dyDescent="0.25">
      <c r="E107" s="39"/>
      <c r="F107" s="42"/>
      <c r="G107" s="42"/>
      <c r="H107" s="42"/>
    </row>
    <row r="108" spans="5:8" x14ac:dyDescent="0.25">
      <c r="E108" s="39"/>
      <c r="F108" s="42"/>
      <c r="G108" s="42"/>
      <c r="H108" s="42"/>
    </row>
    <row r="109" spans="5:8" x14ac:dyDescent="0.25">
      <c r="E109" s="39"/>
      <c r="F109" s="42"/>
      <c r="G109" s="42"/>
      <c r="H109" s="42"/>
    </row>
    <row r="110" spans="5:8" x14ac:dyDescent="0.25">
      <c r="E110" s="39"/>
      <c r="F110" s="42"/>
      <c r="G110" s="42"/>
      <c r="H110" s="42"/>
    </row>
    <row r="111" spans="5:8" x14ac:dyDescent="0.25">
      <c r="E111" s="39"/>
      <c r="F111" s="42"/>
      <c r="G111" s="42"/>
      <c r="H111" s="42"/>
    </row>
    <row r="112" spans="5:8" x14ac:dyDescent="0.25">
      <c r="E112" s="39"/>
      <c r="F112" s="42"/>
      <c r="G112" s="42"/>
      <c r="H112" s="42"/>
    </row>
    <row r="113" spans="5:8" x14ac:dyDescent="0.25">
      <c r="E113" s="39"/>
      <c r="F113" s="42"/>
      <c r="G113" s="42"/>
      <c r="H113" s="42"/>
    </row>
    <row r="114" spans="5:8" x14ac:dyDescent="0.25">
      <c r="E114" s="39"/>
      <c r="F114" s="42"/>
      <c r="G114" s="42"/>
      <c r="H114" s="42"/>
    </row>
    <row r="115" spans="5:8" x14ac:dyDescent="0.25">
      <c r="E115" s="39"/>
      <c r="F115" s="42"/>
      <c r="G115" s="42"/>
      <c r="H115" s="42"/>
    </row>
    <row r="116" spans="5:8" x14ac:dyDescent="0.25">
      <c r="E116" s="39"/>
      <c r="F116" s="42"/>
      <c r="G116" s="42"/>
      <c r="H116" s="42"/>
    </row>
    <row r="117" spans="5:8" x14ac:dyDescent="0.25">
      <c r="E117" s="39"/>
      <c r="F117" s="42"/>
      <c r="G117" s="42"/>
      <c r="H117" s="42"/>
    </row>
    <row r="118" spans="5:8" x14ac:dyDescent="0.25">
      <c r="E118" s="39"/>
      <c r="F118" s="42"/>
      <c r="G118" s="42"/>
      <c r="H118" s="42"/>
    </row>
    <row r="119" spans="5:8" x14ac:dyDescent="0.25">
      <c r="E119" s="39"/>
      <c r="F119" s="42"/>
      <c r="G119" s="42"/>
      <c r="H119" s="42"/>
    </row>
    <row r="120" spans="5:8" x14ac:dyDescent="0.25">
      <c r="E120" s="39"/>
      <c r="F120" s="42"/>
      <c r="G120" s="42"/>
      <c r="H120" s="42"/>
    </row>
    <row r="121" spans="5:8" x14ac:dyDescent="0.25">
      <c r="E121" s="39"/>
      <c r="F121" s="42"/>
      <c r="G121" s="42"/>
      <c r="H121" s="42"/>
    </row>
    <row r="122" spans="5:8" x14ac:dyDescent="0.25">
      <c r="E122" s="39"/>
      <c r="F122" s="42"/>
      <c r="G122" s="42"/>
      <c r="H122" s="42"/>
    </row>
    <row r="123" spans="5:8" x14ac:dyDescent="0.25">
      <c r="E123" s="39"/>
      <c r="F123" s="42"/>
      <c r="G123" s="42"/>
      <c r="H123" s="42"/>
    </row>
    <row r="124" spans="5:8" x14ac:dyDescent="0.25">
      <c r="E124" s="39"/>
      <c r="F124" s="42"/>
      <c r="G124" s="42"/>
      <c r="H124" s="42"/>
    </row>
    <row r="125" spans="5:8" x14ac:dyDescent="0.25">
      <c r="E125" s="39"/>
      <c r="F125" s="42"/>
      <c r="G125" s="42"/>
      <c r="H125" s="42"/>
    </row>
    <row r="126" spans="5:8" x14ac:dyDescent="0.25">
      <c r="E126" s="39"/>
      <c r="F126" s="42"/>
      <c r="G126" s="42"/>
      <c r="H126" s="42"/>
    </row>
    <row r="127" spans="5:8" x14ac:dyDescent="0.25">
      <c r="E127" s="39"/>
      <c r="F127" s="42"/>
      <c r="G127" s="42"/>
      <c r="H127" s="42"/>
    </row>
    <row r="128" spans="5:8" x14ac:dyDescent="0.25">
      <c r="E128" s="39"/>
      <c r="F128" s="42"/>
      <c r="G128" s="42"/>
      <c r="H128" s="42"/>
    </row>
    <row r="129" spans="5:8" x14ac:dyDescent="0.25">
      <c r="E129" s="39"/>
      <c r="F129" s="42"/>
      <c r="G129" s="42"/>
      <c r="H129" s="42"/>
    </row>
    <row r="130" spans="5:8" x14ac:dyDescent="0.25">
      <c r="E130" s="39"/>
      <c r="F130" s="42"/>
      <c r="G130" s="42"/>
      <c r="H130" s="42"/>
    </row>
    <row r="131" spans="5:8" x14ac:dyDescent="0.25">
      <c r="E131" s="39"/>
      <c r="F131" s="42"/>
      <c r="G131" s="42"/>
      <c r="H131" s="42"/>
    </row>
    <row r="132" spans="5:8" x14ac:dyDescent="0.25">
      <c r="E132" s="39"/>
      <c r="F132" s="42"/>
      <c r="G132" s="42"/>
      <c r="H132" s="42"/>
    </row>
    <row r="133" spans="5:8" x14ac:dyDescent="0.25">
      <c r="E133" s="39"/>
      <c r="F133" s="42"/>
      <c r="G133" s="42"/>
      <c r="H133" s="42"/>
    </row>
    <row r="134" spans="5:8" x14ac:dyDescent="0.25">
      <c r="E134" s="39"/>
      <c r="F134" s="42"/>
      <c r="G134" s="42"/>
      <c r="H134" s="42"/>
    </row>
    <row r="135" spans="5:8" x14ac:dyDescent="0.25">
      <c r="E135" s="39"/>
      <c r="F135" s="42"/>
      <c r="G135" s="42"/>
      <c r="H135" s="42"/>
    </row>
    <row r="136" spans="5:8" x14ac:dyDescent="0.25">
      <c r="E136" s="39"/>
      <c r="F136" s="42"/>
      <c r="G136" s="42"/>
      <c r="H136" s="42"/>
    </row>
    <row r="137" spans="5:8" x14ac:dyDescent="0.25">
      <c r="E137" s="39"/>
      <c r="F137" s="42"/>
      <c r="G137" s="42"/>
      <c r="H137" s="42"/>
    </row>
    <row r="138" spans="5:8" x14ac:dyDescent="0.25">
      <c r="E138" s="39"/>
      <c r="F138" s="42"/>
      <c r="G138" s="42"/>
      <c r="H138" s="42"/>
    </row>
    <row r="139" spans="5:8" x14ac:dyDescent="0.25">
      <c r="E139" s="39"/>
      <c r="F139" s="42"/>
      <c r="G139" s="42"/>
      <c r="H139" s="42"/>
    </row>
    <row r="140" spans="5:8" x14ac:dyDescent="0.25">
      <c r="E140" s="39"/>
      <c r="F140" s="42"/>
      <c r="G140" s="42"/>
      <c r="H140" s="42"/>
    </row>
    <row r="141" spans="5:8" x14ac:dyDescent="0.25">
      <c r="E141" s="39"/>
      <c r="F141" s="42"/>
      <c r="G141" s="42"/>
      <c r="H141" s="42"/>
    </row>
    <row r="142" spans="5:8" x14ac:dyDescent="0.25">
      <c r="E142" s="39"/>
      <c r="F142" s="42"/>
      <c r="G142" s="42"/>
      <c r="H142" s="42"/>
    </row>
    <row r="143" spans="5:8" x14ac:dyDescent="0.25">
      <c r="E143" s="39"/>
      <c r="F143" s="42"/>
      <c r="G143" s="42"/>
      <c r="H143" s="42"/>
    </row>
    <row r="144" spans="5:8" x14ac:dyDescent="0.25">
      <c r="E144" s="39"/>
      <c r="F144" s="42"/>
      <c r="G144" s="42"/>
      <c r="H144" s="42"/>
    </row>
    <row r="145" spans="5:8" x14ac:dyDescent="0.25">
      <c r="E145" s="39"/>
      <c r="F145" s="42"/>
      <c r="G145" s="42"/>
      <c r="H145" s="42"/>
    </row>
    <row r="146" spans="5:8" x14ac:dyDescent="0.25">
      <c r="E146" s="39"/>
      <c r="F146" s="42"/>
      <c r="G146" s="42"/>
      <c r="H146" s="42"/>
    </row>
    <row r="147" spans="5:8" x14ac:dyDescent="0.25">
      <c r="E147" s="39"/>
      <c r="F147" s="42"/>
      <c r="G147" s="42"/>
      <c r="H147" s="42"/>
    </row>
    <row r="148" spans="5:8" x14ac:dyDescent="0.25">
      <c r="E148" s="39"/>
      <c r="F148" s="42"/>
      <c r="G148" s="42"/>
      <c r="H148" s="42"/>
    </row>
    <row r="149" spans="5:8" x14ac:dyDescent="0.25">
      <c r="E149" s="39"/>
      <c r="F149" s="42"/>
      <c r="G149" s="42"/>
      <c r="H149" s="42"/>
    </row>
    <row r="150" spans="5:8" x14ac:dyDescent="0.25">
      <c r="E150" s="39"/>
      <c r="F150" s="42"/>
      <c r="G150" s="42"/>
      <c r="H150" s="42"/>
    </row>
    <row r="151" spans="5:8" x14ac:dyDescent="0.25">
      <c r="E151" s="39"/>
      <c r="F151" s="42"/>
      <c r="G151" s="42"/>
      <c r="H151" s="42"/>
    </row>
    <row r="152" spans="5:8" x14ac:dyDescent="0.25">
      <c r="E152" s="39"/>
      <c r="F152" s="42"/>
      <c r="G152" s="42"/>
      <c r="H152" s="42"/>
    </row>
    <row r="153" spans="5:8" x14ac:dyDescent="0.25">
      <c r="E153" s="39"/>
      <c r="F153" s="42"/>
      <c r="G153" s="42"/>
      <c r="H153" s="42"/>
    </row>
    <row r="154" spans="5:8" x14ac:dyDescent="0.25">
      <c r="E154" s="39"/>
      <c r="F154" s="42"/>
      <c r="G154" s="42"/>
      <c r="H154" s="42"/>
    </row>
    <row r="155" spans="5:8" x14ac:dyDescent="0.25">
      <c r="E155" s="39"/>
      <c r="F155" s="42"/>
      <c r="G155" s="42"/>
      <c r="H155" s="42"/>
    </row>
    <row r="156" spans="5:8" x14ac:dyDescent="0.25">
      <c r="E156" s="39"/>
      <c r="F156" s="42"/>
      <c r="G156" s="42"/>
      <c r="H156" s="42"/>
    </row>
    <row r="157" spans="5:8" x14ac:dyDescent="0.25">
      <c r="E157" s="39"/>
      <c r="F157" s="42"/>
      <c r="G157" s="42"/>
      <c r="H157" s="42"/>
    </row>
    <row r="158" spans="5:8" x14ac:dyDescent="0.25">
      <c r="E158" s="39"/>
      <c r="F158" s="42"/>
      <c r="G158" s="42"/>
      <c r="H158" s="42"/>
    </row>
    <row r="159" spans="5:8" x14ac:dyDescent="0.25">
      <c r="E159" s="39"/>
      <c r="F159" s="42"/>
      <c r="G159" s="42"/>
      <c r="H159" s="42"/>
    </row>
    <row r="160" spans="5:8" x14ac:dyDescent="0.25">
      <c r="E160" s="39"/>
      <c r="F160" s="42"/>
      <c r="G160" s="42"/>
      <c r="H160" s="42"/>
    </row>
    <row r="161" spans="5:8" x14ac:dyDescent="0.25">
      <c r="E161" s="39"/>
      <c r="F161" s="42"/>
      <c r="G161" s="42"/>
      <c r="H161" s="42"/>
    </row>
    <row r="162" spans="5:8" x14ac:dyDescent="0.25">
      <c r="E162" s="39"/>
      <c r="F162" s="42"/>
      <c r="G162" s="42"/>
      <c r="H162" s="42"/>
    </row>
    <row r="163" spans="5:8" x14ac:dyDescent="0.25">
      <c r="E163" s="39"/>
      <c r="F163" s="42"/>
      <c r="G163" s="42"/>
      <c r="H163" s="42"/>
    </row>
    <row r="164" spans="5:8" x14ac:dyDescent="0.25">
      <c r="E164" s="39"/>
      <c r="F164" s="42"/>
      <c r="G164" s="42"/>
      <c r="H164" s="42"/>
    </row>
    <row r="165" spans="5:8" x14ac:dyDescent="0.25">
      <c r="E165" s="39"/>
      <c r="F165" s="42"/>
      <c r="G165" s="42"/>
      <c r="H165" s="42"/>
    </row>
    <row r="166" spans="5:8" x14ac:dyDescent="0.25">
      <c r="E166" s="39"/>
      <c r="F166" s="42"/>
      <c r="G166" s="42"/>
      <c r="H166" s="42"/>
    </row>
    <row r="167" spans="5:8" x14ac:dyDescent="0.25">
      <c r="E167" s="39"/>
      <c r="F167" s="42"/>
      <c r="G167" s="42"/>
      <c r="H167" s="42"/>
    </row>
    <row r="168" spans="5:8" x14ac:dyDescent="0.25">
      <c r="E168" s="39"/>
      <c r="F168" s="42"/>
      <c r="G168" s="42"/>
      <c r="H168" s="42"/>
    </row>
    <row r="169" spans="5:8" x14ac:dyDescent="0.25">
      <c r="E169" s="39"/>
      <c r="F169" s="42"/>
      <c r="G169" s="42"/>
      <c r="H169" s="42"/>
    </row>
    <row r="170" spans="5:8" x14ac:dyDescent="0.25">
      <c r="E170" s="39"/>
      <c r="F170" s="42"/>
      <c r="G170" s="42"/>
      <c r="H170" s="42"/>
    </row>
    <row r="171" spans="5:8" x14ac:dyDescent="0.25">
      <c r="E171" s="39"/>
      <c r="F171" s="42"/>
      <c r="G171" s="42"/>
      <c r="H171" s="42"/>
    </row>
    <row r="172" spans="5:8" x14ac:dyDescent="0.25">
      <c r="E172" s="39"/>
      <c r="F172" s="42"/>
      <c r="G172" s="42"/>
      <c r="H172" s="42"/>
    </row>
    <row r="173" spans="5:8" x14ac:dyDescent="0.25">
      <c r="E173" s="39"/>
      <c r="F173" s="42"/>
      <c r="G173" s="42"/>
      <c r="H173" s="42"/>
    </row>
    <row r="174" spans="5:8" x14ac:dyDescent="0.25">
      <c r="E174" s="39"/>
      <c r="F174" s="42"/>
      <c r="G174" s="42"/>
      <c r="H174" s="42"/>
    </row>
    <row r="175" spans="5:8" x14ac:dyDescent="0.25">
      <c r="E175" s="39"/>
      <c r="F175" s="42"/>
      <c r="G175" s="42"/>
      <c r="H175" s="42"/>
    </row>
    <row r="176" spans="5:8" x14ac:dyDescent="0.25">
      <c r="E176" s="39"/>
      <c r="F176" s="42"/>
      <c r="G176" s="42"/>
      <c r="H176" s="42"/>
    </row>
    <row r="177" spans="5:8" x14ac:dyDescent="0.25">
      <c r="E177" s="39"/>
      <c r="F177" s="42"/>
      <c r="G177" s="42"/>
      <c r="H177" s="42"/>
    </row>
    <row r="178" spans="5:8" x14ac:dyDescent="0.25">
      <c r="E178" s="39"/>
      <c r="F178" s="42"/>
      <c r="G178" s="42"/>
      <c r="H178" s="42"/>
    </row>
    <row r="179" spans="5:8" x14ac:dyDescent="0.25">
      <c r="E179" s="39"/>
      <c r="F179" s="42"/>
      <c r="G179" s="42"/>
      <c r="H179" s="42"/>
    </row>
    <row r="180" spans="5:8" x14ac:dyDescent="0.25">
      <c r="E180" s="39"/>
      <c r="F180" s="42"/>
      <c r="G180" s="42"/>
      <c r="H180" s="42"/>
    </row>
    <row r="181" spans="5:8" x14ac:dyDescent="0.25">
      <c r="E181" s="39"/>
      <c r="F181" s="42"/>
      <c r="G181" s="42"/>
      <c r="H181" s="42"/>
    </row>
    <row r="182" spans="5:8" x14ac:dyDescent="0.25">
      <c r="E182" s="39"/>
      <c r="F182" s="42"/>
      <c r="G182" s="42"/>
      <c r="H182" s="42"/>
    </row>
    <row r="183" spans="5:8" x14ac:dyDescent="0.25">
      <c r="E183" s="39"/>
      <c r="F183" s="42"/>
      <c r="G183" s="42"/>
      <c r="H183" s="42"/>
    </row>
    <row r="184" spans="5:8" x14ac:dyDescent="0.25">
      <c r="E184" s="39"/>
      <c r="F184" s="42"/>
      <c r="G184" s="42"/>
      <c r="H184" s="42"/>
    </row>
    <row r="185" spans="5:8" x14ac:dyDescent="0.25">
      <c r="E185" s="39"/>
      <c r="F185" s="42"/>
      <c r="G185" s="42"/>
      <c r="H185" s="42"/>
    </row>
    <row r="186" spans="5:8" x14ac:dyDescent="0.25">
      <c r="E186" s="39"/>
      <c r="F186" s="42"/>
      <c r="G186" s="42"/>
      <c r="H186" s="42"/>
    </row>
    <row r="187" spans="5:8" x14ac:dyDescent="0.25">
      <c r="E187" s="39"/>
      <c r="F187" s="42"/>
      <c r="G187" s="42"/>
      <c r="H187" s="42"/>
    </row>
    <row r="188" spans="5:8" x14ac:dyDescent="0.25">
      <c r="E188" s="39"/>
      <c r="F188" s="42"/>
      <c r="G188" s="42"/>
      <c r="H188" s="42"/>
    </row>
    <row r="189" spans="5:8" x14ac:dyDescent="0.25">
      <c r="E189" s="39"/>
      <c r="F189" s="42"/>
      <c r="G189" s="42"/>
      <c r="H189" s="42"/>
    </row>
    <row r="190" spans="5:8" x14ac:dyDescent="0.25">
      <c r="E190" s="39"/>
      <c r="F190" s="42"/>
      <c r="G190" s="42"/>
      <c r="H190" s="42"/>
    </row>
    <row r="191" spans="5:8" x14ac:dyDescent="0.25">
      <c r="E191" s="39"/>
      <c r="F191" s="42"/>
      <c r="G191" s="42"/>
      <c r="H191" s="42"/>
    </row>
    <row r="192" spans="5:8" x14ac:dyDescent="0.25">
      <c r="E192" s="39"/>
      <c r="F192" s="42"/>
      <c r="G192" s="42"/>
      <c r="H192" s="42"/>
    </row>
    <row r="193" spans="5:8" x14ac:dyDescent="0.25">
      <c r="E193" s="39"/>
      <c r="F193" s="42"/>
      <c r="G193" s="42"/>
      <c r="H193" s="42"/>
    </row>
    <row r="194" spans="5:8" x14ac:dyDescent="0.25">
      <c r="E194" s="39"/>
      <c r="F194" s="42"/>
      <c r="G194" s="42"/>
      <c r="H194" s="42"/>
    </row>
    <row r="195" spans="5:8" x14ac:dyDescent="0.25">
      <c r="E195" s="39"/>
      <c r="F195" s="42"/>
      <c r="G195" s="42"/>
      <c r="H195" s="42"/>
    </row>
    <row r="196" spans="5:8" x14ac:dyDescent="0.25">
      <c r="E196" s="39"/>
      <c r="F196" s="42"/>
      <c r="G196" s="42"/>
      <c r="H196" s="42"/>
    </row>
    <row r="197" spans="5:8" x14ac:dyDescent="0.25">
      <c r="E197" s="39"/>
      <c r="F197" s="42"/>
      <c r="G197" s="42"/>
      <c r="H197" s="42"/>
    </row>
    <row r="198" spans="5:8" x14ac:dyDescent="0.25">
      <c r="E198" s="39"/>
      <c r="F198" s="42"/>
      <c r="G198" s="42"/>
      <c r="H198" s="42"/>
    </row>
    <row r="199" spans="5:8" x14ac:dyDescent="0.25">
      <c r="E199" s="39"/>
      <c r="F199" s="42"/>
      <c r="G199" s="42"/>
      <c r="H199" s="42"/>
    </row>
    <row r="200" spans="5:8" x14ac:dyDescent="0.25">
      <c r="E200" s="39"/>
      <c r="F200" s="42"/>
      <c r="G200" s="42"/>
      <c r="H200" s="42"/>
    </row>
    <row r="201" spans="5:8" x14ac:dyDescent="0.25">
      <c r="E201" s="39"/>
      <c r="F201" s="42"/>
      <c r="G201" s="42"/>
      <c r="H201" s="42"/>
    </row>
    <row r="202" spans="5:8" x14ac:dyDescent="0.25">
      <c r="E202" s="39"/>
      <c r="F202" s="42"/>
      <c r="G202" s="42"/>
      <c r="H202" s="42"/>
    </row>
    <row r="203" spans="5:8" x14ac:dyDescent="0.25">
      <c r="E203" s="39"/>
      <c r="F203" s="42"/>
      <c r="G203" s="42"/>
      <c r="H203" s="42"/>
    </row>
    <row r="204" spans="5:8" x14ac:dyDescent="0.25">
      <c r="E204" s="39"/>
      <c r="F204" s="42"/>
      <c r="G204" s="42"/>
      <c r="H204" s="42"/>
    </row>
    <row r="205" spans="5:8" x14ac:dyDescent="0.25">
      <c r="E205" s="39"/>
      <c r="F205" s="42"/>
      <c r="G205" s="42"/>
      <c r="H205" s="42"/>
    </row>
    <row r="206" spans="5:8" x14ac:dyDescent="0.25">
      <c r="E206" s="39"/>
      <c r="F206" s="42"/>
      <c r="G206" s="42"/>
      <c r="H206" s="42"/>
    </row>
    <row r="207" spans="5:8" x14ac:dyDescent="0.25">
      <c r="E207" s="39"/>
      <c r="F207" s="42"/>
      <c r="G207" s="42"/>
      <c r="H207" s="42"/>
    </row>
    <row r="208" spans="5:8" x14ac:dyDescent="0.25">
      <c r="E208" s="39"/>
      <c r="F208" s="42"/>
      <c r="G208" s="42"/>
      <c r="H208" s="42"/>
    </row>
    <row r="209" spans="5:8" x14ac:dyDescent="0.25">
      <c r="E209" s="39"/>
      <c r="F209" s="42"/>
      <c r="G209" s="42"/>
      <c r="H209" s="42"/>
    </row>
    <row r="210" spans="5:8" x14ac:dyDescent="0.25">
      <c r="E210" s="39"/>
      <c r="F210" s="42"/>
      <c r="G210" s="42"/>
      <c r="H210" s="42"/>
    </row>
    <row r="211" spans="5:8" x14ac:dyDescent="0.25">
      <c r="E211" s="39"/>
      <c r="F211" s="42"/>
      <c r="G211" s="42"/>
      <c r="H211" s="42"/>
    </row>
    <row r="212" spans="5:8" x14ac:dyDescent="0.25">
      <c r="E212" s="39"/>
      <c r="F212" s="42"/>
      <c r="G212" s="42"/>
      <c r="H212" s="42"/>
    </row>
    <row r="213" spans="5:8" x14ac:dyDescent="0.25">
      <c r="E213" s="39"/>
      <c r="F213" s="42"/>
      <c r="G213" s="42"/>
      <c r="H213" s="42"/>
    </row>
    <row r="214" spans="5:8" x14ac:dyDescent="0.25">
      <c r="E214" s="39"/>
      <c r="F214" s="42"/>
      <c r="G214" s="42"/>
      <c r="H214" s="42"/>
    </row>
    <row r="215" spans="5:8" x14ac:dyDescent="0.25">
      <c r="E215" s="39"/>
      <c r="F215" s="42"/>
      <c r="G215" s="42"/>
      <c r="H215" s="42"/>
    </row>
    <row r="216" spans="5:8" x14ac:dyDescent="0.25">
      <c r="E216" s="39"/>
      <c r="F216" s="42"/>
      <c r="G216" s="42"/>
      <c r="H216" s="42"/>
    </row>
    <row r="217" spans="5:8" x14ac:dyDescent="0.25">
      <c r="E217" s="39"/>
      <c r="F217" s="42"/>
      <c r="G217" s="42"/>
      <c r="H217" s="42"/>
    </row>
    <row r="218" spans="5:8" x14ac:dyDescent="0.25">
      <c r="E218" s="39"/>
      <c r="F218" s="42"/>
      <c r="G218" s="42"/>
      <c r="H218" s="42"/>
    </row>
    <row r="219" spans="5:8" x14ac:dyDescent="0.25">
      <c r="E219" s="39"/>
      <c r="F219" s="42"/>
      <c r="G219" s="42"/>
      <c r="H219" s="42"/>
    </row>
    <row r="220" spans="5:8" x14ac:dyDescent="0.25">
      <c r="E220" s="39"/>
      <c r="F220" s="42"/>
      <c r="G220" s="42"/>
      <c r="H220" s="42"/>
    </row>
    <row r="221" spans="5:8" x14ac:dyDescent="0.25">
      <c r="E221" s="39"/>
      <c r="F221" s="42"/>
      <c r="G221" s="42"/>
      <c r="H221" s="42"/>
    </row>
    <row r="222" spans="5:8" x14ac:dyDescent="0.25">
      <c r="E222" s="39"/>
      <c r="F222" s="42"/>
      <c r="G222" s="42"/>
      <c r="H222" s="42"/>
    </row>
    <row r="223" spans="5:8" x14ac:dyDescent="0.25">
      <c r="E223" s="39"/>
      <c r="F223" s="42"/>
      <c r="G223" s="42"/>
      <c r="H223" s="42"/>
    </row>
    <row r="224" spans="5:8" x14ac:dyDescent="0.25">
      <c r="E224" s="39"/>
      <c r="F224" s="42"/>
      <c r="G224" s="42"/>
      <c r="H224" s="42"/>
    </row>
    <row r="225" spans="5:8" x14ac:dyDescent="0.25">
      <c r="E225" s="39"/>
      <c r="F225" s="42"/>
      <c r="G225" s="42"/>
      <c r="H225" s="42"/>
    </row>
    <row r="226" spans="5:8" x14ac:dyDescent="0.25">
      <c r="E226" s="39"/>
      <c r="F226" s="42"/>
      <c r="G226" s="42"/>
      <c r="H226" s="42"/>
    </row>
    <row r="227" spans="5:8" x14ac:dyDescent="0.25">
      <c r="E227" s="39"/>
      <c r="F227" s="42"/>
      <c r="G227" s="42"/>
      <c r="H227" s="42"/>
    </row>
    <row r="228" spans="5:8" x14ac:dyDescent="0.25">
      <c r="E228" s="39"/>
      <c r="F228" s="42"/>
      <c r="G228" s="42"/>
      <c r="H228" s="42"/>
    </row>
    <row r="229" spans="5:8" x14ac:dyDescent="0.25">
      <c r="E229" s="39"/>
      <c r="F229" s="42"/>
      <c r="G229" s="42"/>
      <c r="H229" s="42"/>
    </row>
    <row r="230" spans="5:8" x14ac:dyDescent="0.25">
      <c r="E230" s="39"/>
      <c r="F230" s="42"/>
      <c r="G230" s="42"/>
      <c r="H230" s="42"/>
    </row>
    <row r="231" spans="5:8" x14ac:dyDescent="0.25">
      <c r="E231" s="39"/>
      <c r="F231" s="42"/>
      <c r="G231" s="42"/>
      <c r="H231" s="42"/>
    </row>
    <row r="232" spans="5:8" x14ac:dyDescent="0.25">
      <c r="E232" s="39"/>
      <c r="F232" s="42"/>
      <c r="G232" s="42"/>
      <c r="H232" s="42"/>
    </row>
    <row r="233" spans="5:8" x14ac:dyDescent="0.25">
      <c r="E233" s="39"/>
      <c r="F233" s="42"/>
      <c r="G233" s="42"/>
      <c r="H233" s="42"/>
    </row>
    <row r="234" spans="5:8" x14ac:dyDescent="0.25">
      <c r="E234" s="39"/>
      <c r="F234" s="42"/>
      <c r="G234" s="42"/>
      <c r="H234" s="42"/>
    </row>
    <row r="235" spans="5:8" x14ac:dyDescent="0.25">
      <c r="E235" s="39"/>
      <c r="F235" s="42"/>
      <c r="G235" s="42"/>
      <c r="H235" s="42"/>
    </row>
    <row r="236" spans="5:8" x14ac:dyDescent="0.25">
      <c r="E236" s="39"/>
      <c r="F236" s="42"/>
      <c r="G236" s="42"/>
      <c r="H236" s="42"/>
    </row>
    <row r="237" spans="5:8" x14ac:dyDescent="0.25">
      <c r="E237" s="39"/>
      <c r="F237" s="42"/>
      <c r="G237" s="42"/>
      <c r="H237" s="42"/>
    </row>
    <row r="238" spans="5:8" x14ac:dyDescent="0.25">
      <c r="E238" s="39"/>
      <c r="F238" s="42"/>
      <c r="G238" s="42"/>
      <c r="H238" s="42"/>
    </row>
    <row r="239" spans="5:8" x14ac:dyDescent="0.25">
      <c r="E239" s="39"/>
      <c r="F239" s="42"/>
      <c r="G239" s="42"/>
      <c r="H239" s="42"/>
    </row>
    <row r="240" spans="5:8" x14ac:dyDescent="0.25">
      <c r="E240" s="39"/>
      <c r="F240" s="42"/>
      <c r="G240" s="42"/>
      <c r="H240" s="42"/>
    </row>
    <row r="241" spans="5:8" x14ac:dyDescent="0.25">
      <c r="E241" s="39"/>
      <c r="F241" s="42"/>
      <c r="G241" s="42"/>
      <c r="H241" s="42"/>
    </row>
    <row r="242" spans="5:8" x14ac:dyDescent="0.25">
      <c r="E242" s="39"/>
      <c r="F242" s="42"/>
      <c r="G242" s="42"/>
      <c r="H242" s="42"/>
    </row>
    <row r="243" spans="5:8" x14ac:dyDescent="0.25">
      <c r="E243" s="39"/>
      <c r="F243" s="42"/>
      <c r="G243" s="42"/>
      <c r="H243" s="42"/>
    </row>
    <row r="244" spans="5:8" x14ac:dyDescent="0.25">
      <c r="E244" s="39"/>
      <c r="F244" s="42"/>
      <c r="G244" s="42"/>
      <c r="H244" s="42"/>
    </row>
    <row r="245" spans="5:8" x14ac:dyDescent="0.25">
      <c r="E245" s="39"/>
      <c r="F245" s="42"/>
      <c r="G245" s="42"/>
      <c r="H245" s="42"/>
    </row>
    <row r="246" spans="5:8" x14ac:dyDescent="0.25">
      <c r="E246" s="39"/>
      <c r="F246" s="42"/>
      <c r="G246" s="42"/>
      <c r="H246" s="42"/>
    </row>
    <row r="247" spans="5:8" x14ac:dyDescent="0.25">
      <c r="E247" s="39"/>
      <c r="F247" s="42"/>
      <c r="G247" s="42"/>
      <c r="H247" s="42"/>
    </row>
    <row r="248" spans="5:8" x14ac:dyDescent="0.25">
      <c r="E248" s="39"/>
      <c r="F248" s="42"/>
      <c r="G248" s="42"/>
      <c r="H248" s="42"/>
    </row>
    <row r="249" spans="5:8" x14ac:dyDescent="0.25">
      <c r="E249" s="39"/>
      <c r="F249" s="42"/>
      <c r="G249" s="42"/>
      <c r="H249" s="42"/>
    </row>
    <row r="250" spans="5:8" x14ac:dyDescent="0.25">
      <c r="E250" s="39"/>
      <c r="F250" s="42"/>
      <c r="G250" s="42"/>
      <c r="H250" s="42"/>
    </row>
    <row r="251" spans="5:8" x14ac:dyDescent="0.25">
      <c r="E251" s="39"/>
      <c r="F251" s="42"/>
      <c r="G251" s="42"/>
      <c r="H251" s="42"/>
    </row>
    <row r="252" spans="5:8" x14ac:dyDescent="0.25">
      <c r="E252" s="39"/>
      <c r="F252" s="42"/>
      <c r="G252" s="42"/>
      <c r="H252" s="42"/>
    </row>
    <row r="253" spans="5:8" x14ac:dyDescent="0.25">
      <c r="E253" s="39"/>
      <c r="F253" s="42"/>
      <c r="G253" s="42"/>
      <c r="H253" s="42"/>
    </row>
    <row r="254" spans="5:8" x14ac:dyDescent="0.25">
      <c r="E254" s="39"/>
      <c r="F254" s="42"/>
      <c r="G254" s="42"/>
      <c r="H254" s="42"/>
    </row>
    <row r="255" spans="5:8" x14ac:dyDescent="0.25">
      <c r="E255" s="39"/>
      <c r="F255" s="42"/>
      <c r="G255" s="42"/>
      <c r="H255" s="42"/>
    </row>
    <row r="256" spans="5:8" x14ac:dyDescent="0.25">
      <c r="E256" s="39"/>
      <c r="F256" s="42"/>
      <c r="G256" s="42"/>
      <c r="H256" s="42"/>
    </row>
    <row r="257" spans="5:8" x14ac:dyDescent="0.25">
      <c r="E257" s="39"/>
      <c r="F257" s="42"/>
      <c r="G257" s="42"/>
      <c r="H257" s="42"/>
    </row>
    <row r="258" spans="5:8" x14ac:dyDescent="0.25">
      <c r="E258" s="39"/>
      <c r="F258" s="42"/>
      <c r="G258" s="42"/>
      <c r="H258" s="42"/>
    </row>
    <row r="259" spans="5:8" x14ac:dyDescent="0.25">
      <c r="E259" s="39"/>
      <c r="F259" s="42"/>
      <c r="G259" s="42"/>
      <c r="H259" s="42"/>
    </row>
    <row r="260" spans="5:8" x14ac:dyDescent="0.25">
      <c r="E260" s="39"/>
      <c r="F260" s="42"/>
      <c r="G260" s="42"/>
      <c r="H260" s="42"/>
    </row>
    <row r="261" spans="5:8" x14ac:dyDescent="0.25">
      <c r="E261" s="39"/>
      <c r="F261" s="42"/>
      <c r="G261" s="42"/>
      <c r="H261" s="42"/>
    </row>
    <row r="262" spans="5:8" x14ac:dyDescent="0.25">
      <c r="E262" s="39"/>
      <c r="F262" s="42"/>
      <c r="G262" s="42"/>
      <c r="H262" s="42"/>
    </row>
    <row r="263" spans="5:8" x14ac:dyDescent="0.25">
      <c r="E263" s="39"/>
      <c r="F263" s="42"/>
      <c r="G263" s="42"/>
      <c r="H263" s="42"/>
    </row>
    <row r="264" spans="5:8" x14ac:dyDescent="0.25">
      <c r="E264" s="39"/>
      <c r="F264" s="42"/>
      <c r="G264" s="42"/>
      <c r="H264" s="42"/>
    </row>
    <row r="265" spans="5:8" x14ac:dyDescent="0.25">
      <c r="E265" s="39"/>
      <c r="F265" s="42"/>
      <c r="G265" s="42"/>
      <c r="H265" s="42"/>
    </row>
    <row r="266" spans="5:8" x14ac:dyDescent="0.25">
      <c r="E266" s="39"/>
      <c r="F266" s="42"/>
      <c r="G266" s="42"/>
      <c r="H266" s="42"/>
    </row>
    <row r="267" spans="5:8" x14ac:dyDescent="0.25">
      <c r="E267" s="39"/>
      <c r="F267" s="42"/>
      <c r="G267" s="42"/>
      <c r="H267" s="42"/>
    </row>
    <row r="268" spans="5:8" x14ac:dyDescent="0.25">
      <c r="E268" s="39"/>
      <c r="F268" s="42"/>
      <c r="G268" s="42"/>
      <c r="H268" s="42"/>
    </row>
    <row r="269" spans="5:8" x14ac:dyDescent="0.25">
      <c r="E269" s="39"/>
      <c r="F269" s="42"/>
      <c r="G269" s="42"/>
      <c r="H269" s="42"/>
    </row>
    <row r="270" spans="5:8" x14ac:dyDescent="0.25">
      <c r="E270" s="39"/>
      <c r="F270" s="42"/>
      <c r="G270" s="42"/>
      <c r="H270" s="42"/>
    </row>
    <row r="271" spans="5:8" x14ac:dyDescent="0.25">
      <c r="E271" s="39"/>
      <c r="F271" s="42"/>
      <c r="G271" s="42"/>
      <c r="H271" s="42"/>
    </row>
    <row r="272" spans="5:8" x14ac:dyDescent="0.25">
      <c r="E272" s="39"/>
      <c r="F272" s="42"/>
      <c r="G272" s="42"/>
      <c r="H272" s="42"/>
    </row>
    <row r="273" spans="5:8" x14ac:dyDescent="0.25">
      <c r="E273" s="39"/>
      <c r="F273" s="42"/>
      <c r="G273" s="42"/>
      <c r="H273" s="42"/>
    </row>
    <row r="274" spans="5:8" x14ac:dyDescent="0.25">
      <c r="E274" s="39"/>
      <c r="F274" s="42"/>
      <c r="G274" s="42"/>
      <c r="H274" s="42"/>
    </row>
    <row r="275" spans="5:8" x14ac:dyDescent="0.25">
      <c r="E275" s="39"/>
      <c r="F275" s="42"/>
      <c r="G275" s="42"/>
      <c r="H275" s="42"/>
    </row>
    <row r="276" spans="5:8" x14ac:dyDescent="0.25">
      <c r="E276" s="39"/>
      <c r="F276" s="42"/>
      <c r="G276" s="42"/>
      <c r="H276" s="42"/>
    </row>
    <row r="277" spans="5:8" x14ac:dyDescent="0.25">
      <c r="E277" s="39"/>
      <c r="F277" s="42"/>
      <c r="G277" s="42"/>
      <c r="H277" s="42"/>
    </row>
    <row r="278" spans="5:8" x14ac:dyDescent="0.25">
      <c r="E278" s="39"/>
      <c r="F278" s="42"/>
      <c r="G278" s="42"/>
      <c r="H278" s="42"/>
    </row>
    <row r="279" spans="5:8" x14ac:dyDescent="0.25">
      <c r="E279" s="39"/>
      <c r="F279" s="42"/>
      <c r="G279" s="42"/>
      <c r="H279" s="42"/>
    </row>
    <row r="280" spans="5:8" x14ac:dyDescent="0.25">
      <c r="E280" s="39"/>
      <c r="F280" s="42"/>
      <c r="G280" s="42"/>
      <c r="H280" s="42"/>
    </row>
    <row r="281" spans="5:8" x14ac:dyDescent="0.25">
      <c r="E281" s="39"/>
      <c r="F281" s="42"/>
      <c r="G281" s="42"/>
      <c r="H281" s="42"/>
    </row>
    <row r="282" spans="5:8" x14ac:dyDescent="0.25">
      <c r="E282" s="39"/>
      <c r="F282" s="42"/>
      <c r="G282" s="42"/>
      <c r="H282" s="42"/>
    </row>
    <row r="283" spans="5:8" x14ac:dyDescent="0.25">
      <c r="E283" s="39"/>
      <c r="F283" s="42"/>
      <c r="G283" s="42"/>
      <c r="H283" s="42"/>
    </row>
    <row r="284" spans="5:8" x14ac:dyDescent="0.25">
      <c r="E284" s="39"/>
      <c r="F284" s="42"/>
      <c r="G284" s="42"/>
      <c r="H284" s="42"/>
    </row>
    <row r="285" spans="5:8" x14ac:dyDescent="0.25">
      <c r="E285" s="39"/>
      <c r="F285" s="42"/>
      <c r="G285" s="42"/>
      <c r="H285" s="42"/>
    </row>
    <row r="286" spans="5:8" x14ac:dyDescent="0.25">
      <c r="E286" s="39"/>
      <c r="F286" s="42"/>
      <c r="G286" s="42"/>
      <c r="H286" s="42"/>
    </row>
    <row r="287" spans="5:8" x14ac:dyDescent="0.25">
      <c r="E287" s="39"/>
      <c r="F287" s="42"/>
      <c r="G287" s="42"/>
      <c r="H287" s="42"/>
    </row>
    <row r="288" spans="5:8" x14ac:dyDescent="0.25">
      <c r="E288" s="39"/>
      <c r="F288" s="42"/>
      <c r="G288" s="42"/>
      <c r="H288" s="42"/>
    </row>
    <row r="289" spans="5:8" x14ac:dyDescent="0.25">
      <c r="E289" s="39"/>
      <c r="F289" s="42"/>
      <c r="G289" s="42"/>
      <c r="H289" s="42"/>
    </row>
    <row r="290" spans="5:8" x14ac:dyDescent="0.25">
      <c r="E290" s="39"/>
      <c r="F290" s="42"/>
      <c r="G290" s="42"/>
      <c r="H290" s="42"/>
    </row>
    <row r="291" spans="5:8" x14ac:dyDescent="0.25">
      <c r="E291" s="39"/>
      <c r="F291" s="42"/>
      <c r="G291" s="42"/>
      <c r="H291" s="42"/>
    </row>
    <row r="292" spans="5:8" x14ac:dyDescent="0.25">
      <c r="E292" s="39"/>
      <c r="F292" s="42"/>
      <c r="G292" s="42"/>
      <c r="H292" s="42"/>
    </row>
    <row r="293" spans="5:8" x14ac:dyDescent="0.25">
      <c r="E293" s="39"/>
      <c r="F293" s="42"/>
      <c r="G293" s="42"/>
      <c r="H293" s="42"/>
    </row>
    <row r="294" spans="5:8" x14ac:dyDescent="0.25">
      <c r="E294" s="39"/>
      <c r="F294" s="42"/>
      <c r="G294" s="42"/>
      <c r="H294" s="42"/>
    </row>
    <row r="295" spans="5:8" x14ac:dyDescent="0.25">
      <c r="E295" s="39"/>
      <c r="F295" s="42"/>
      <c r="G295" s="42"/>
      <c r="H295" s="42"/>
    </row>
    <row r="296" spans="5:8" x14ac:dyDescent="0.25">
      <c r="E296" s="39"/>
      <c r="F296" s="42"/>
      <c r="G296" s="42"/>
      <c r="H296" s="42"/>
    </row>
    <row r="297" spans="5:8" x14ac:dyDescent="0.25">
      <c r="E297" s="39"/>
      <c r="F297" s="42"/>
      <c r="G297" s="42"/>
      <c r="H297" s="42"/>
    </row>
    <row r="298" spans="5:8" x14ac:dyDescent="0.25">
      <c r="E298" s="39"/>
      <c r="F298" s="42"/>
      <c r="G298" s="42"/>
      <c r="H298" s="42"/>
    </row>
    <row r="299" spans="5:8" x14ac:dyDescent="0.25">
      <c r="E299" s="39"/>
      <c r="F299" s="42"/>
      <c r="G299" s="42"/>
      <c r="H299" s="42"/>
    </row>
    <row r="300" spans="5:8" x14ac:dyDescent="0.25">
      <c r="E300" s="39"/>
      <c r="F300" s="42"/>
      <c r="G300" s="42"/>
      <c r="H300" s="42"/>
    </row>
    <row r="301" spans="5:8" x14ac:dyDescent="0.25">
      <c r="E301" s="39"/>
      <c r="F301" s="42"/>
      <c r="G301" s="42"/>
      <c r="H301" s="42"/>
    </row>
    <row r="302" spans="5:8" x14ac:dyDescent="0.25">
      <c r="E302" s="39"/>
      <c r="F302" s="42"/>
      <c r="G302" s="42"/>
      <c r="H302" s="42"/>
    </row>
    <row r="303" spans="5:8" x14ac:dyDescent="0.25">
      <c r="E303" s="39"/>
      <c r="F303" s="42"/>
      <c r="G303" s="42"/>
      <c r="H303" s="42"/>
    </row>
    <row r="304" spans="5:8" x14ac:dyDescent="0.25">
      <c r="E304" s="39"/>
      <c r="F304" s="42"/>
      <c r="G304" s="42"/>
      <c r="H304" s="42"/>
    </row>
    <row r="305" spans="5:8" x14ac:dyDescent="0.25">
      <c r="E305" s="39"/>
      <c r="F305" s="42"/>
      <c r="G305" s="42"/>
      <c r="H305" s="42"/>
    </row>
    <row r="306" spans="5:8" x14ac:dyDescent="0.25">
      <c r="E306" s="39"/>
      <c r="F306" s="42"/>
      <c r="G306" s="42"/>
      <c r="H306" s="42"/>
    </row>
    <row r="307" spans="5:8" x14ac:dyDescent="0.25">
      <c r="E307" s="39"/>
      <c r="F307" s="42"/>
      <c r="G307" s="42"/>
      <c r="H307" s="42"/>
    </row>
    <row r="308" spans="5:8" x14ac:dyDescent="0.25">
      <c r="E308" s="39"/>
      <c r="F308" s="42"/>
      <c r="G308" s="42"/>
      <c r="H308" s="42"/>
    </row>
    <row r="309" spans="5:8" x14ac:dyDescent="0.25">
      <c r="E309" s="39"/>
      <c r="F309" s="42"/>
      <c r="G309" s="42"/>
      <c r="H309" s="42"/>
    </row>
    <row r="310" spans="5:8" x14ac:dyDescent="0.25">
      <c r="E310" s="39"/>
      <c r="F310" s="42"/>
      <c r="G310" s="42"/>
      <c r="H310" s="42"/>
    </row>
    <row r="311" spans="5:8" x14ac:dyDescent="0.25">
      <c r="E311" s="39"/>
      <c r="F311" s="42"/>
      <c r="G311" s="42"/>
      <c r="H311" s="42"/>
    </row>
    <row r="312" spans="5:8" x14ac:dyDescent="0.25">
      <c r="E312" s="39"/>
      <c r="F312" s="42"/>
      <c r="G312" s="42"/>
      <c r="H312" s="42"/>
    </row>
    <row r="313" spans="5:8" x14ac:dyDescent="0.25">
      <c r="E313" s="39"/>
      <c r="F313" s="42"/>
      <c r="G313" s="42"/>
      <c r="H313" s="42"/>
    </row>
    <row r="314" spans="5:8" x14ac:dyDescent="0.25">
      <c r="E314" s="39"/>
      <c r="F314" s="42"/>
      <c r="G314" s="42"/>
      <c r="H314" s="42"/>
    </row>
    <row r="315" spans="5:8" x14ac:dyDescent="0.25">
      <c r="E315" s="39"/>
      <c r="F315" s="42"/>
      <c r="G315" s="42"/>
      <c r="H315" s="42"/>
    </row>
    <row r="316" spans="5:8" x14ac:dyDescent="0.25">
      <c r="E316" s="39"/>
      <c r="F316" s="42"/>
      <c r="G316" s="42"/>
      <c r="H316" s="42"/>
    </row>
    <row r="317" spans="5:8" x14ac:dyDescent="0.25">
      <c r="E317" s="39"/>
      <c r="F317" s="42"/>
      <c r="G317" s="42"/>
      <c r="H317" s="42"/>
    </row>
    <row r="318" spans="5:8" x14ac:dyDescent="0.25">
      <c r="E318" s="39"/>
      <c r="F318" s="42"/>
      <c r="G318" s="42"/>
      <c r="H318" s="42"/>
    </row>
    <row r="319" spans="5:8" x14ac:dyDescent="0.25">
      <c r="E319" s="39"/>
      <c r="F319" s="42"/>
      <c r="G319" s="42"/>
      <c r="H319" s="42"/>
    </row>
    <row r="320" spans="5:8" x14ac:dyDescent="0.25">
      <c r="E320" s="39"/>
      <c r="F320" s="42"/>
      <c r="G320" s="42"/>
      <c r="H320" s="42"/>
    </row>
    <row r="321" spans="5:8" x14ac:dyDescent="0.25">
      <c r="E321" s="39"/>
      <c r="F321" s="42"/>
      <c r="G321" s="42"/>
      <c r="H321" s="42"/>
    </row>
    <row r="322" spans="5:8" x14ac:dyDescent="0.25">
      <c r="E322" s="39"/>
      <c r="F322" s="42"/>
      <c r="G322" s="42"/>
      <c r="H322" s="42"/>
    </row>
    <row r="323" spans="5:8" x14ac:dyDescent="0.25">
      <c r="E323" s="39"/>
      <c r="F323" s="42"/>
      <c r="G323" s="42"/>
      <c r="H323" s="42"/>
    </row>
    <row r="324" spans="5:8" x14ac:dyDescent="0.25">
      <c r="E324" s="39"/>
      <c r="F324" s="42"/>
      <c r="G324" s="42"/>
      <c r="H324" s="42"/>
    </row>
    <row r="325" spans="5:8" x14ac:dyDescent="0.25">
      <c r="E325" s="39"/>
      <c r="F325" s="42"/>
      <c r="G325" s="42"/>
      <c r="H325" s="42"/>
    </row>
    <row r="326" spans="5:8" x14ac:dyDescent="0.25">
      <c r="E326" s="39"/>
      <c r="F326" s="42"/>
      <c r="G326" s="42"/>
      <c r="H326" s="42"/>
    </row>
    <row r="327" spans="5:8" x14ac:dyDescent="0.25">
      <c r="E327" s="39"/>
      <c r="F327" s="42"/>
      <c r="G327" s="42"/>
      <c r="H327" s="42"/>
    </row>
    <row r="328" spans="5:8" x14ac:dyDescent="0.25">
      <c r="E328" s="39"/>
      <c r="F328" s="42"/>
      <c r="G328" s="42"/>
      <c r="H328" s="42"/>
    </row>
    <row r="329" spans="5:8" x14ac:dyDescent="0.25">
      <c r="E329" s="39"/>
      <c r="F329" s="42"/>
      <c r="G329" s="42"/>
      <c r="H329" s="42"/>
    </row>
    <row r="330" spans="5:8" x14ac:dyDescent="0.25">
      <c r="E330" s="39"/>
      <c r="F330" s="42"/>
      <c r="G330" s="42"/>
      <c r="H330" s="42"/>
    </row>
    <row r="331" spans="5:8" x14ac:dyDescent="0.25">
      <c r="E331" s="39"/>
      <c r="F331" s="42"/>
      <c r="G331" s="42"/>
      <c r="H331" s="42"/>
    </row>
    <row r="332" spans="5:8" x14ac:dyDescent="0.25">
      <c r="E332" s="39"/>
      <c r="F332" s="42"/>
      <c r="G332" s="42"/>
      <c r="H332" s="42"/>
    </row>
    <row r="333" spans="5:8" x14ac:dyDescent="0.25">
      <c r="E333" s="39"/>
      <c r="F333" s="42"/>
      <c r="G333" s="42"/>
      <c r="H333" s="42"/>
    </row>
    <row r="334" spans="5:8" x14ac:dyDescent="0.25">
      <c r="E334" s="39"/>
      <c r="F334" s="42"/>
      <c r="G334" s="42"/>
      <c r="H334" s="42"/>
    </row>
    <row r="335" spans="5:8" x14ac:dyDescent="0.25">
      <c r="E335" s="39"/>
      <c r="F335" s="42"/>
      <c r="G335" s="42"/>
      <c r="H335" s="42"/>
    </row>
    <row r="336" spans="5:8" x14ac:dyDescent="0.25">
      <c r="E336" s="39"/>
      <c r="F336" s="42"/>
      <c r="G336" s="42"/>
      <c r="H336" s="42"/>
    </row>
    <row r="337" spans="5:8" x14ac:dyDescent="0.25">
      <c r="E337" s="39"/>
      <c r="F337" s="42"/>
      <c r="G337" s="42"/>
      <c r="H337" s="42"/>
    </row>
    <row r="338" spans="5:8" x14ac:dyDescent="0.25">
      <c r="E338" s="39"/>
      <c r="F338" s="42"/>
      <c r="G338" s="42"/>
      <c r="H338" s="42"/>
    </row>
    <row r="339" spans="5:8" x14ac:dyDescent="0.25">
      <c r="E339" s="39"/>
      <c r="F339" s="42"/>
      <c r="G339" s="42"/>
      <c r="H339" s="42"/>
    </row>
    <row r="340" spans="5:8" x14ac:dyDescent="0.25">
      <c r="E340" s="39"/>
      <c r="F340" s="42"/>
      <c r="G340" s="42"/>
      <c r="H340" s="42"/>
    </row>
    <row r="341" spans="5:8" x14ac:dyDescent="0.25">
      <c r="E341" s="39"/>
      <c r="F341" s="42"/>
      <c r="G341" s="42"/>
      <c r="H341" s="42"/>
    </row>
    <row r="342" spans="5:8" x14ac:dyDescent="0.25">
      <c r="E342" s="39"/>
      <c r="F342" s="42"/>
      <c r="G342" s="42"/>
      <c r="H342" s="42"/>
    </row>
    <row r="343" spans="5:8" x14ac:dyDescent="0.25">
      <c r="E343" s="39"/>
      <c r="F343" s="42"/>
      <c r="G343" s="42"/>
      <c r="H343" s="42"/>
    </row>
    <row r="344" spans="5:8" x14ac:dyDescent="0.25">
      <c r="E344" s="39"/>
      <c r="F344" s="42"/>
      <c r="G344" s="42"/>
      <c r="H344" s="42"/>
    </row>
    <row r="345" spans="5:8" x14ac:dyDescent="0.25">
      <c r="E345" s="39"/>
      <c r="F345" s="42"/>
      <c r="G345" s="42"/>
      <c r="H345" s="42"/>
    </row>
    <row r="346" spans="5:8" x14ac:dyDescent="0.25">
      <c r="E346" s="39"/>
      <c r="F346" s="42"/>
      <c r="G346" s="42"/>
      <c r="H346" s="42"/>
    </row>
    <row r="347" spans="5:8" x14ac:dyDescent="0.25">
      <c r="E347" s="39"/>
      <c r="F347" s="42"/>
      <c r="G347" s="42"/>
      <c r="H347" s="42"/>
    </row>
    <row r="348" spans="5:8" x14ac:dyDescent="0.25">
      <c r="E348" s="39"/>
      <c r="F348" s="42"/>
      <c r="G348" s="42"/>
      <c r="H348" s="42"/>
    </row>
    <row r="349" spans="5:8" x14ac:dyDescent="0.25">
      <c r="E349" s="39"/>
      <c r="F349" s="42"/>
      <c r="G349" s="42"/>
      <c r="H349" s="42"/>
    </row>
    <row r="350" spans="5:8" x14ac:dyDescent="0.25">
      <c r="E350" s="39"/>
      <c r="F350" s="42"/>
      <c r="G350" s="42"/>
      <c r="H350" s="42"/>
    </row>
    <row r="351" spans="5:8" x14ac:dyDescent="0.25">
      <c r="E351" s="39"/>
      <c r="F351" s="42"/>
      <c r="G351" s="42"/>
      <c r="H351" s="42"/>
    </row>
    <row r="352" spans="5:8" x14ac:dyDescent="0.25">
      <c r="E352" s="39"/>
      <c r="F352" s="42"/>
      <c r="G352" s="42"/>
      <c r="H352" s="42"/>
    </row>
    <row r="353" spans="5:8" x14ac:dyDescent="0.25">
      <c r="E353" s="39"/>
      <c r="F353" s="42"/>
      <c r="G353" s="42"/>
      <c r="H353" s="42"/>
    </row>
    <row r="354" spans="5:8" x14ac:dyDescent="0.25">
      <c r="E354" s="39"/>
      <c r="F354" s="42"/>
      <c r="G354" s="42"/>
      <c r="H354" s="42"/>
    </row>
    <row r="355" spans="5:8" x14ac:dyDescent="0.25">
      <c r="E355" s="39"/>
      <c r="F355" s="42"/>
      <c r="G355" s="42"/>
      <c r="H355" s="42"/>
    </row>
    <row r="356" spans="5:8" x14ac:dyDescent="0.25">
      <c r="E356" s="39"/>
      <c r="F356" s="42"/>
      <c r="G356" s="42"/>
      <c r="H356" s="42"/>
    </row>
    <row r="357" spans="5:8" x14ac:dyDescent="0.25">
      <c r="E357" s="39"/>
      <c r="F357" s="42"/>
      <c r="G357" s="42"/>
      <c r="H357" s="42"/>
    </row>
    <row r="358" spans="5:8" x14ac:dyDescent="0.25">
      <c r="E358" s="39"/>
      <c r="F358" s="42"/>
      <c r="G358" s="42"/>
      <c r="H358" s="42"/>
    </row>
    <row r="359" spans="5:8" x14ac:dyDescent="0.25">
      <c r="E359" s="39"/>
      <c r="F359" s="42"/>
      <c r="G359" s="42"/>
      <c r="H359" s="42"/>
    </row>
    <row r="360" spans="5:8" x14ac:dyDescent="0.25">
      <c r="E360" s="39"/>
      <c r="F360" s="42"/>
      <c r="G360" s="42"/>
      <c r="H360" s="42"/>
    </row>
    <row r="361" spans="5:8" x14ac:dyDescent="0.25">
      <c r="E361" s="39"/>
      <c r="F361" s="42"/>
      <c r="G361" s="42"/>
      <c r="H361" s="42"/>
    </row>
    <row r="362" spans="5:8" x14ac:dyDescent="0.25">
      <c r="E362" s="39"/>
      <c r="F362" s="42"/>
      <c r="G362" s="42"/>
      <c r="H362" s="42"/>
    </row>
    <row r="363" spans="5:8" x14ac:dyDescent="0.25">
      <c r="E363" s="39"/>
      <c r="F363" s="42"/>
      <c r="G363" s="42"/>
      <c r="H363" s="42"/>
    </row>
    <row r="364" spans="5:8" x14ac:dyDescent="0.25">
      <c r="E364" s="39"/>
      <c r="F364" s="42"/>
      <c r="G364" s="42"/>
      <c r="H364" s="42"/>
    </row>
    <row r="365" spans="5:8" x14ac:dyDescent="0.25">
      <c r="E365" s="39"/>
      <c r="F365" s="42"/>
      <c r="G365" s="42"/>
      <c r="H365" s="42"/>
    </row>
    <row r="366" spans="5:8" x14ac:dyDescent="0.25">
      <c r="E366" s="39"/>
      <c r="F366" s="42"/>
      <c r="G366" s="42"/>
      <c r="H366" s="42"/>
    </row>
    <row r="367" spans="5:8" x14ac:dyDescent="0.25">
      <c r="E367" s="39"/>
      <c r="F367" s="42"/>
      <c r="G367" s="42"/>
      <c r="H367" s="42"/>
    </row>
    <row r="368" spans="5:8" x14ac:dyDescent="0.25">
      <c r="E368" s="39"/>
      <c r="F368" s="42"/>
      <c r="G368" s="42"/>
      <c r="H368" s="42"/>
    </row>
    <row r="369" spans="5:8" x14ac:dyDescent="0.25">
      <c r="E369" s="39"/>
      <c r="F369" s="42"/>
      <c r="G369" s="42"/>
      <c r="H369" s="42"/>
    </row>
    <row r="370" spans="5:8" x14ac:dyDescent="0.25">
      <c r="E370" s="39"/>
      <c r="F370" s="42"/>
      <c r="G370" s="42"/>
      <c r="H370" s="42"/>
    </row>
    <row r="371" spans="5:8" x14ac:dyDescent="0.25">
      <c r="E371" s="39"/>
      <c r="F371" s="42"/>
      <c r="G371" s="42"/>
      <c r="H371" s="42"/>
    </row>
    <row r="372" spans="5:8" x14ac:dyDescent="0.25">
      <c r="E372" s="39"/>
      <c r="F372" s="42"/>
      <c r="G372" s="42"/>
      <c r="H372" s="42"/>
    </row>
    <row r="373" spans="5:8" x14ac:dyDescent="0.25">
      <c r="E373" s="39"/>
      <c r="F373" s="42"/>
      <c r="G373" s="42"/>
      <c r="H373" s="42"/>
    </row>
    <row r="374" spans="5:8" x14ac:dyDescent="0.25">
      <c r="E374" s="39"/>
      <c r="F374" s="42"/>
      <c r="G374" s="42"/>
      <c r="H374" s="42"/>
    </row>
    <row r="375" spans="5:8" x14ac:dyDescent="0.25">
      <c r="E375" s="39"/>
      <c r="F375" s="42"/>
      <c r="G375" s="42"/>
      <c r="H375" s="42"/>
    </row>
    <row r="376" spans="5:8" x14ac:dyDescent="0.25">
      <c r="E376" s="39"/>
      <c r="F376" s="42"/>
      <c r="G376" s="42"/>
      <c r="H376" s="42"/>
    </row>
    <row r="377" spans="5:8" x14ac:dyDescent="0.25">
      <c r="E377" s="39"/>
      <c r="F377" s="42"/>
      <c r="G377" s="42"/>
      <c r="H377" s="42"/>
    </row>
    <row r="378" spans="5:8" x14ac:dyDescent="0.25">
      <c r="E378" s="39"/>
      <c r="F378" s="42"/>
      <c r="G378" s="42"/>
      <c r="H378" s="42"/>
    </row>
    <row r="379" spans="5:8" x14ac:dyDescent="0.25">
      <c r="E379" s="39"/>
      <c r="F379" s="42"/>
      <c r="G379" s="42"/>
      <c r="H379" s="42"/>
    </row>
    <row r="380" spans="5:8" x14ac:dyDescent="0.25">
      <c r="E380" s="39"/>
      <c r="F380" s="42"/>
      <c r="G380" s="42"/>
      <c r="H380" s="42"/>
    </row>
    <row r="381" spans="5:8" x14ac:dyDescent="0.25">
      <c r="E381" s="39"/>
      <c r="F381" s="42"/>
      <c r="G381" s="42"/>
      <c r="H381" s="42"/>
    </row>
    <row r="382" spans="5:8" x14ac:dyDescent="0.25">
      <c r="E382" s="39"/>
      <c r="F382" s="42"/>
      <c r="G382" s="42"/>
      <c r="H382" s="42"/>
    </row>
    <row r="383" spans="5:8" x14ac:dyDescent="0.25">
      <c r="E383" s="39"/>
      <c r="F383" s="42"/>
      <c r="G383" s="42"/>
      <c r="H383" s="42"/>
    </row>
    <row r="384" spans="5:8" x14ac:dyDescent="0.25">
      <c r="E384" s="39"/>
      <c r="F384" s="42"/>
      <c r="G384" s="42"/>
      <c r="H384" s="42"/>
    </row>
    <row r="385" spans="5:8" x14ac:dyDescent="0.25">
      <c r="E385" s="39"/>
      <c r="F385" s="42"/>
      <c r="G385" s="42"/>
      <c r="H385" s="42"/>
    </row>
    <row r="386" spans="5:8" x14ac:dyDescent="0.25">
      <c r="E386" s="39"/>
      <c r="F386" s="42"/>
      <c r="G386" s="42"/>
      <c r="H386" s="42"/>
    </row>
    <row r="387" spans="5:8" x14ac:dyDescent="0.25">
      <c r="E387" s="39"/>
      <c r="F387" s="42"/>
      <c r="G387" s="42"/>
      <c r="H387" s="42"/>
    </row>
    <row r="388" spans="5:8" x14ac:dyDescent="0.25">
      <c r="E388" s="39"/>
      <c r="F388" s="42"/>
      <c r="G388" s="42"/>
      <c r="H388" s="42"/>
    </row>
    <row r="389" spans="5:8" x14ac:dyDescent="0.25">
      <c r="E389" s="39"/>
      <c r="F389" s="42"/>
      <c r="G389" s="42"/>
      <c r="H389" s="42"/>
    </row>
    <row r="390" spans="5:8" x14ac:dyDescent="0.25">
      <c r="E390" s="39"/>
      <c r="F390" s="42"/>
      <c r="G390" s="42"/>
      <c r="H390" s="42"/>
    </row>
    <row r="391" spans="5:8" x14ac:dyDescent="0.25">
      <c r="E391" s="39"/>
      <c r="F391" s="42"/>
      <c r="G391" s="42"/>
      <c r="H391" s="42"/>
    </row>
    <row r="392" spans="5:8" x14ac:dyDescent="0.25">
      <c r="E392" s="39"/>
      <c r="F392" s="42"/>
      <c r="G392" s="42"/>
      <c r="H392" s="42"/>
    </row>
    <row r="393" spans="5:8" x14ac:dyDescent="0.25">
      <c r="E393" s="39"/>
      <c r="F393" s="42"/>
      <c r="G393" s="42"/>
      <c r="H393" s="42"/>
    </row>
    <row r="394" spans="5:8" x14ac:dyDescent="0.25">
      <c r="E394" s="39"/>
      <c r="F394" s="42"/>
      <c r="G394" s="42"/>
      <c r="H394" s="42"/>
    </row>
    <row r="395" spans="5:8" x14ac:dyDescent="0.25">
      <c r="E395" s="39"/>
      <c r="F395" s="42"/>
      <c r="G395" s="42"/>
      <c r="H395" s="42"/>
    </row>
    <row r="396" spans="5:8" x14ac:dyDescent="0.25">
      <c r="E396" s="39"/>
      <c r="F396" s="42"/>
      <c r="G396" s="42"/>
      <c r="H396" s="42"/>
    </row>
    <row r="397" spans="5:8" x14ac:dyDescent="0.25">
      <c r="E397" s="39"/>
      <c r="F397" s="42"/>
      <c r="G397" s="42"/>
      <c r="H397" s="42"/>
    </row>
    <row r="398" spans="5:8" x14ac:dyDescent="0.25">
      <c r="E398" s="39"/>
      <c r="F398" s="42"/>
      <c r="G398" s="42"/>
      <c r="H398" s="42"/>
    </row>
    <row r="399" spans="5:8" x14ac:dyDescent="0.25">
      <c r="E399" s="39"/>
      <c r="F399" s="42"/>
      <c r="G399" s="42"/>
      <c r="H399" s="42"/>
    </row>
    <row r="400" spans="5:8" x14ac:dyDescent="0.25">
      <c r="E400" s="39"/>
      <c r="F400" s="42"/>
      <c r="G400" s="42"/>
      <c r="H400" s="42"/>
    </row>
    <row r="401" spans="5:8" x14ac:dyDescent="0.25">
      <c r="E401" s="39"/>
      <c r="F401" s="42"/>
      <c r="G401" s="42"/>
      <c r="H401" s="42"/>
    </row>
    <row r="402" spans="5:8" x14ac:dyDescent="0.25">
      <c r="E402" s="39"/>
      <c r="F402" s="42"/>
      <c r="G402" s="42"/>
      <c r="H402" s="42"/>
    </row>
    <row r="403" spans="5:8" x14ac:dyDescent="0.25">
      <c r="E403" s="39"/>
      <c r="F403" s="42"/>
      <c r="G403" s="42"/>
      <c r="H403" s="42"/>
    </row>
    <row r="404" spans="5:8" x14ac:dyDescent="0.25">
      <c r="E404" s="39"/>
      <c r="F404" s="42"/>
      <c r="G404" s="42"/>
      <c r="H404" s="42"/>
    </row>
    <row r="405" spans="5:8" x14ac:dyDescent="0.25">
      <c r="E405" s="39"/>
      <c r="F405" s="42"/>
      <c r="G405" s="42"/>
      <c r="H405" s="42"/>
    </row>
    <row r="406" spans="5:8" x14ac:dyDescent="0.25">
      <c r="E406" s="39"/>
      <c r="F406" s="42"/>
      <c r="G406" s="42"/>
      <c r="H406" s="42"/>
    </row>
    <row r="407" spans="5:8" x14ac:dyDescent="0.25">
      <c r="E407" s="39"/>
      <c r="F407" s="42"/>
      <c r="G407" s="42"/>
      <c r="H407" s="42"/>
    </row>
    <row r="408" spans="5:8" x14ac:dyDescent="0.25">
      <c r="E408" s="39"/>
      <c r="F408" s="42"/>
      <c r="G408" s="42"/>
      <c r="H408" s="42"/>
    </row>
    <row r="409" spans="5:8" x14ac:dyDescent="0.25">
      <c r="E409" s="39"/>
      <c r="F409" s="42"/>
      <c r="G409" s="42"/>
      <c r="H409" s="42"/>
    </row>
    <row r="410" spans="5:8" x14ac:dyDescent="0.25">
      <c r="E410" s="39"/>
      <c r="F410" s="42"/>
      <c r="G410" s="42"/>
      <c r="H410" s="42"/>
    </row>
    <row r="411" spans="5:8" x14ac:dyDescent="0.25">
      <c r="E411" s="39"/>
      <c r="F411" s="42"/>
      <c r="G411" s="42"/>
      <c r="H411" s="42"/>
    </row>
    <row r="412" spans="5:8" x14ac:dyDescent="0.25">
      <c r="E412" s="39"/>
      <c r="F412" s="42"/>
      <c r="G412" s="42"/>
      <c r="H412" s="42"/>
    </row>
    <row r="413" spans="5:8" x14ac:dyDescent="0.25">
      <c r="E413" s="39"/>
      <c r="F413" s="42"/>
      <c r="G413" s="42"/>
      <c r="H413" s="42"/>
    </row>
    <row r="414" spans="5:8" x14ac:dyDescent="0.25">
      <c r="E414" s="39"/>
      <c r="F414" s="42"/>
      <c r="G414" s="42"/>
      <c r="H414" s="42"/>
    </row>
    <row r="415" spans="5:8" x14ac:dyDescent="0.25">
      <c r="E415" s="39"/>
      <c r="F415" s="42"/>
      <c r="G415" s="42"/>
      <c r="H415" s="42"/>
    </row>
    <row r="416" spans="5:8" x14ac:dyDescent="0.25">
      <c r="E416" s="39"/>
      <c r="F416" s="42"/>
      <c r="G416" s="42"/>
      <c r="H416" s="42"/>
    </row>
    <row r="417" spans="5:8" x14ac:dyDescent="0.25">
      <c r="E417" s="39"/>
      <c r="F417" s="42"/>
      <c r="G417" s="42"/>
      <c r="H417" s="42"/>
    </row>
    <row r="418" spans="5:8" x14ac:dyDescent="0.25">
      <c r="E418" s="39"/>
      <c r="F418" s="42"/>
      <c r="G418" s="42"/>
      <c r="H418" s="42"/>
    </row>
    <row r="419" spans="5:8" x14ac:dyDescent="0.25">
      <c r="E419" s="39"/>
      <c r="F419" s="42"/>
      <c r="G419" s="42"/>
      <c r="H419" s="42"/>
    </row>
    <row r="420" spans="5:8" x14ac:dyDescent="0.25">
      <c r="E420" s="39"/>
      <c r="F420" s="42"/>
      <c r="G420" s="42"/>
      <c r="H420" s="42"/>
    </row>
    <row r="421" spans="5:8" x14ac:dyDescent="0.25">
      <c r="E421" s="39"/>
      <c r="F421" s="42"/>
      <c r="G421" s="42"/>
      <c r="H421" s="42"/>
    </row>
    <row r="422" spans="5:8" x14ac:dyDescent="0.25">
      <c r="E422" s="39"/>
      <c r="F422" s="42"/>
      <c r="G422" s="42"/>
      <c r="H422" s="42"/>
    </row>
    <row r="423" spans="5:8" x14ac:dyDescent="0.25">
      <c r="E423" s="39"/>
      <c r="F423" s="42"/>
      <c r="G423" s="42"/>
      <c r="H423" s="42"/>
    </row>
    <row r="424" spans="5:8" x14ac:dyDescent="0.25">
      <c r="E424" s="39"/>
      <c r="F424" s="42"/>
      <c r="G424" s="42"/>
      <c r="H424" s="42"/>
    </row>
    <row r="425" spans="5:8" x14ac:dyDescent="0.25">
      <c r="E425" s="39"/>
      <c r="F425" s="42"/>
      <c r="G425" s="42"/>
      <c r="H425" s="42"/>
    </row>
    <row r="426" spans="5:8" x14ac:dyDescent="0.25">
      <c r="E426" s="39"/>
      <c r="F426" s="42"/>
      <c r="G426" s="42"/>
      <c r="H426" s="42"/>
    </row>
    <row r="427" spans="5:8" x14ac:dyDescent="0.25">
      <c r="E427" s="39"/>
      <c r="F427" s="42"/>
      <c r="G427" s="42"/>
      <c r="H427" s="42"/>
    </row>
    <row r="428" spans="5:8" x14ac:dyDescent="0.25">
      <c r="E428" s="39"/>
      <c r="F428" s="42"/>
      <c r="G428" s="42"/>
      <c r="H428" s="42"/>
    </row>
    <row r="429" spans="5:8" x14ac:dyDescent="0.25">
      <c r="E429" s="39"/>
      <c r="F429" s="42"/>
      <c r="G429" s="42"/>
      <c r="H429" s="42"/>
    </row>
    <row r="430" spans="5:8" x14ac:dyDescent="0.25">
      <c r="E430" s="39"/>
      <c r="F430" s="42"/>
      <c r="G430" s="42"/>
      <c r="H430" s="42"/>
    </row>
    <row r="431" spans="5:8" x14ac:dyDescent="0.25">
      <c r="E431" s="39"/>
      <c r="F431" s="42"/>
      <c r="G431" s="42"/>
      <c r="H431" s="42"/>
    </row>
    <row r="432" spans="5:8" x14ac:dyDescent="0.25">
      <c r="E432" s="39"/>
      <c r="F432" s="42"/>
      <c r="G432" s="42"/>
      <c r="H432" s="42"/>
    </row>
    <row r="433" spans="5:8" x14ac:dyDescent="0.25">
      <c r="E433" s="39"/>
      <c r="F433" s="42"/>
      <c r="G433" s="42"/>
      <c r="H433" s="42"/>
    </row>
    <row r="434" spans="5:8" x14ac:dyDescent="0.25">
      <c r="E434" s="39"/>
      <c r="F434" s="42"/>
      <c r="G434" s="42"/>
      <c r="H434" s="42"/>
    </row>
    <row r="435" spans="5:8" x14ac:dyDescent="0.25">
      <c r="E435" s="39"/>
      <c r="F435" s="42"/>
      <c r="G435" s="42"/>
      <c r="H435" s="42"/>
    </row>
    <row r="436" spans="5:8" x14ac:dyDescent="0.25">
      <c r="E436" s="39"/>
      <c r="F436" s="42"/>
      <c r="G436" s="42"/>
      <c r="H436" s="42"/>
    </row>
    <row r="437" spans="5:8" x14ac:dyDescent="0.25">
      <c r="E437" s="39"/>
      <c r="F437" s="42"/>
      <c r="G437" s="42"/>
      <c r="H437" s="42"/>
    </row>
    <row r="438" spans="5:8" x14ac:dyDescent="0.25">
      <c r="E438" s="39"/>
      <c r="F438" s="42"/>
      <c r="G438" s="42"/>
      <c r="H438" s="42"/>
    </row>
    <row r="439" spans="5:8" x14ac:dyDescent="0.25">
      <c r="E439" s="39"/>
      <c r="F439" s="42"/>
      <c r="G439" s="42"/>
      <c r="H439" s="42"/>
    </row>
    <row r="440" spans="5:8" x14ac:dyDescent="0.25">
      <c r="E440" s="39"/>
      <c r="F440" s="42"/>
      <c r="G440" s="42"/>
      <c r="H440" s="42"/>
    </row>
    <row r="441" spans="5:8" x14ac:dyDescent="0.25">
      <c r="E441" s="39"/>
      <c r="F441" s="42"/>
      <c r="G441" s="42"/>
      <c r="H441" s="42"/>
    </row>
    <row r="442" spans="5:8" x14ac:dyDescent="0.25">
      <c r="E442" s="39"/>
      <c r="F442" s="42"/>
      <c r="G442" s="42"/>
      <c r="H442" s="42"/>
    </row>
    <row r="443" spans="5:8" x14ac:dyDescent="0.25">
      <c r="E443" s="39"/>
      <c r="F443" s="42"/>
      <c r="G443" s="42"/>
      <c r="H443" s="42"/>
    </row>
    <row r="444" spans="5:8" x14ac:dyDescent="0.25">
      <c r="E444" s="39"/>
      <c r="F444" s="42"/>
      <c r="G444" s="42"/>
      <c r="H444" s="42"/>
    </row>
    <row r="445" spans="5:8" x14ac:dyDescent="0.25">
      <c r="E445" s="39"/>
      <c r="F445" s="42"/>
      <c r="G445" s="42"/>
      <c r="H445" s="42"/>
    </row>
    <row r="446" spans="5:8" x14ac:dyDescent="0.25">
      <c r="E446" s="39"/>
      <c r="F446" s="42"/>
      <c r="G446" s="42"/>
      <c r="H446" s="42"/>
    </row>
    <row r="447" spans="5:8" x14ac:dyDescent="0.25">
      <c r="E447" s="39"/>
      <c r="F447" s="42"/>
      <c r="G447" s="42"/>
      <c r="H447" s="42"/>
    </row>
    <row r="448" spans="5:8" x14ac:dyDescent="0.25">
      <c r="E448" s="39"/>
      <c r="F448" s="42"/>
      <c r="G448" s="42"/>
      <c r="H448" s="42"/>
    </row>
    <row r="449" spans="5:8" x14ac:dyDescent="0.25">
      <c r="E449" s="39"/>
      <c r="F449" s="42"/>
      <c r="G449" s="42"/>
      <c r="H449" s="42"/>
    </row>
    <row r="450" spans="5:8" x14ac:dyDescent="0.25">
      <c r="E450" s="39"/>
      <c r="F450" s="42"/>
      <c r="G450" s="42"/>
      <c r="H450" s="42"/>
    </row>
    <row r="451" spans="5:8" x14ac:dyDescent="0.25">
      <c r="E451" s="39"/>
      <c r="F451" s="42"/>
      <c r="G451" s="42"/>
      <c r="H451" s="42"/>
    </row>
    <row r="452" spans="5:8" x14ac:dyDescent="0.25">
      <c r="E452" s="39"/>
      <c r="F452" s="42"/>
      <c r="G452" s="42"/>
      <c r="H452" s="42"/>
    </row>
    <row r="453" spans="5:8" x14ac:dyDescent="0.25">
      <c r="E453" s="39"/>
      <c r="F453" s="42"/>
      <c r="G453" s="42"/>
      <c r="H453" s="42"/>
    </row>
    <row r="454" spans="5:8" x14ac:dyDescent="0.25">
      <c r="E454" s="39"/>
      <c r="F454" s="42"/>
      <c r="G454" s="42"/>
      <c r="H454" s="42"/>
    </row>
    <row r="455" spans="5:8" x14ac:dyDescent="0.25">
      <c r="E455" s="39"/>
      <c r="F455" s="42"/>
      <c r="G455" s="42"/>
      <c r="H455" s="42"/>
    </row>
    <row r="456" spans="5:8" x14ac:dyDescent="0.25">
      <c r="E456" s="39"/>
      <c r="F456" s="42"/>
      <c r="G456" s="42"/>
      <c r="H456" s="42"/>
    </row>
    <row r="457" spans="5:8" x14ac:dyDescent="0.25">
      <c r="E457" s="39"/>
      <c r="F457" s="42"/>
      <c r="G457" s="42"/>
      <c r="H457" s="42"/>
    </row>
    <row r="458" spans="5:8" x14ac:dyDescent="0.25">
      <c r="E458" s="39"/>
      <c r="F458" s="42"/>
      <c r="G458" s="42"/>
      <c r="H458" s="42"/>
    </row>
    <row r="459" spans="5:8" x14ac:dyDescent="0.25">
      <c r="E459" s="39"/>
      <c r="F459" s="42"/>
      <c r="G459" s="42"/>
      <c r="H459" s="42"/>
    </row>
    <row r="460" spans="5:8" x14ac:dyDescent="0.25">
      <c r="E460" s="39"/>
      <c r="F460" s="42"/>
      <c r="G460" s="42"/>
      <c r="H460" s="42"/>
    </row>
    <row r="461" spans="5:8" x14ac:dyDescent="0.25">
      <c r="E461" s="39"/>
      <c r="F461" s="42"/>
      <c r="G461" s="42"/>
      <c r="H461" s="42"/>
    </row>
    <row r="462" spans="5:8" x14ac:dyDescent="0.25">
      <c r="E462" s="39"/>
      <c r="F462" s="42"/>
      <c r="G462" s="42"/>
      <c r="H462" s="42"/>
    </row>
    <row r="463" spans="5:8" x14ac:dyDescent="0.25">
      <c r="E463" s="39"/>
      <c r="F463" s="42"/>
      <c r="G463" s="42"/>
      <c r="H463" s="42"/>
    </row>
    <row r="464" spans="5:8" x14ac:dyDescent="0.25">
      <c r="E464" s="39"/>
      <c r="F464" s="42"/>
      <c r="G464" s="42"/>
      <c r="H464" s="42"/>
    </row>
    <row r="465" spans="5:8" x14ac:dyDescent="0.25">
      <c r="E465" s="39"/>
      <c r="F465" s="42"/>
      <c r="G465" s="42"/>
      <c r="H465" s="42"/>
    </row>
    <row r="466" spans="5:8" x14ac:dyDescent="0.25">
      <c r="E466" s="39"/>
      <c r="F466" s="42"/>
      <c r="G466" s="42"/>
      <c r="H466" s="42"/>
    </row>
    <row r="467" spans="5:8" x14ac:dyDescent="0.25">
      <c r="E467" s="39"/>
      <c r="F467" s="42"/>
      <c r="G467" s="42"/>
      <c r="H467" s="42"/>
    </row>
    <row r="468" spans="5:8" x14ac:dyDescent="0.25">
      <c r="E468" s="39"/>
      <c r="F468" s="42"/>
      <c r="G468" s="42"/>
      <c r="H468" s="42"/>
    </row>
    <row r="469" spans="5:8" x14ac:dyDescent="0.25">
      <c r="E469" s="39"/>
      <c r="F469" s="42"/>
      <c r="G469" s="42"/>
      <c r="H469" s="42"/>
    </row>
    <row r="470" spans="5:8" x14ac:dyDescent="0.25">
      <c r="E470" s="39"/>
      <c r="F470" s="42"/>
      <c r="G470" s="42"/>
      <c r="H470" s="42"/>
    </row>
    <row r="471" spans="5:8" x14ac:dyDescent="0.25">
      <c r="E471" s="39"/>
      <c r="F471" s="42"/>
      <c r="G471" s="42"/>
      <c r="H471" s="42"/>
    </row>
    <row r="472" spans="5:8" x14ac:dyDescent="0.25">
      <c r="E472" s="39"/>
      <c r="F472" s="42"/>
      <c r="G472" s="42"/>
      <c r="H472" s="42"/>
    </row>
    <row r="473" spans="5:8" x14ac:dyDescent="0.25">
      <c r="E473" s="39"/>
      <c r="F473" s="42"/>
      <c r="G473" s="42"/>
      <c r="H473" s="42"/>
    </row>
    <row r="474" spans="5:8" x14ac:dyDescent="0.25">
      <c r="E474" s="39"/>
      <c r="F474" s="42"/>
      <c r="G474" s="42"/>
      <c r="H474" s="42"/>
    </row>
    <row r="475" spans="5:8" x14ac:dyDescent="0.25">
      <c r="E475" s="39"/>
      <c r="F475" s="42"/>
      <c r="G475" s="42"/>
      <c r="H475" s="42"/>
    </row>
    <row r="476" spans="5:8" x14ac:dyDescent="0.25">
      <c r="E476" s="39"/>
      <c r="F476" s="42"/>
      <c r="G476" s="42"/>
      <c r="H476" s="42"/>
    </row>
    <row r="477" spans="5:8" x14ac:dyDescent="0.25">
      <c r="E477" s="39"/>
      <c r="F477" s="42"/>
      <c r="G477" s="42"/>
      <c r="H477" s="42"/>
    </row>
    <row r="478" spans="5:8" x14ac:dyDescent="0.25">
      <c r="E478" s="39"/>
      <c r="F478" s="42"/>
      <c r="G478" s="42"/>
      <c r="H478" s="42"/>
    </row>
    <row r="479" spans="5:8" x14ac:dyDescent="0.25">
      <c r="E479" s="39"/>
      <c r="F479" s="42"/>
      <c r="G479" s="42"/>
      <c r="H479" s="42"/>
    </row>
    <row r="480" spans="5:8" x14ac:dyDescent="0.25">
      <c r="E480" s="39"/>
      <c r="F480" s="42"/>
      <c r="G480" s="42"/>
      <c r="H480" s="42"/>
    </row>
    <row r="481" spans="5:8" x14ac:dyDescent="0.25">
      <c r="E481" s="39"/>
      <c r="F481" s="42"/>
      <c r="G481" s="42"/>
      <c r="H481" s="42"/>
    </row>
    <row r="482" spans="5:8" x14ac:dyDescent="0.25">
      <c r="E482" s="39"/>
      <c r="F482" s="42"/>
      <c r="G482" s="42"/>
      <c r="H482" s="42"/>
    </row>
    <row r="483" spans="5:8" x14ac:dyDescent="0.25">
      <c r="E483" s="39"/>
      <c r="F483" s="42"/>
      <c r="G483" s="42"/>
      <c r="H483" s="42"/>
    </row>
    <row r="484" spans="5:8" x14ac:dyDescent="0.25">
      <c r="E484" s="39"/>
      <c r="F484" s="42"/>
      <c r="G484" s="42"/>
      <c r="H484" s="42"/>
    </row>
    <row r="485" spans="5:8" x14ac:dyDescent="0.25">
      <c r="E485" s="39"/>
      <c r="F485" s="42"/>
      <c r="G485" s="42"/>
      <c r="H485" s="42"/>
    </row>
    <row r="486" spans="5:8" x14ac:dyDescent="0.25">
      <c r="E486" s="39"/>
      <c r="F486" s="42"/>
      <c r="G486" s="42"/>
      <c r="H486" s="42"/>
    </row>
    <row r="487" spans="5:8" x14ac:dyDescent="0.25">
      <c r="E487" s="39"/>
      <c r="F487" s="42"/>
      <c r="G487" s="42"/>
      <c r="H487" s="42"/>
    </row>
    <row r="488" spans="5:8" x14ac:dyDescent="0.25">
      <c r="E488" s="39"/>
      <c r="F488" s="42"/>
      <c r="G488" s="42"/>
      <c r="H488" s="42"/>
    </row>
    <row r="489" spans="5:8" x14ac:dyDescent="0.25">
      <c r="E489" s="39"/>
      <c r="F489" s="42"/>
      <c r="G489" s="42"/>
      <c r="H489" s="42"/>
    </row>
    <row r="490" spans="5:8" x14ac:dyDescent="0.25">
      <c r="E490" s="39"/>
      <c r="F490" s="42"/>
      <c r="G490" s="42"/>
      <c r="H490" s="42"/>
    </row>
    <row r="491" spans="5:8" x14ac:dyDescent="0.25">
      <c r="E491" s="39"/>
      <c r="F491" s="42"/>
      <c r="G491" s="42"/>
      <c r="H491" s="42"/>
    </row>
    <row r="492" spans="5:8" x14ac:dyDescent="0.25">
      <c r="E492" s="39"/>
      <c r="F492" s="42"/>
      <c r="G492" s="42"/>
      <c r="H492" s="42"/>
    </row>
    <row r="493" spans="5:8" x14ac:dyDescent="0.25">
      <c r="E493" s="39"/>
      <c r="F493" s="42"/>
      <c r="G493" s="42"/>
      <c r="H493" s="42"/>
    </row>
    <row r="494" spans="5:8" x14ac:dyDescent="0.25">
      <c r="E494" s="39"/>
      <c r="F494" s="42"/>
      <c r="G494" s="42"/>
      <c r="H494" s="42"/>
    </row>
    <row r="495" spans="5:8" x14ac:dyDescent="0.25">
      <c r="E495" s="39"/>
      <c r="F495" s="42"/>
      <c r="G495" s="42"/>
      <c r="H495" s="42"/>
    </row>
    <row r="496" spans="5:8" x14ac:dyDescent="0.25">
      <c r="E496" s="39"/>
      <c r="F496" s="42"/>
      <c r="G496" s="42"/>
      <c r="H496" s="42"/>
    </row>
    <row r="497" spans="5:8" x14ac:dyDescent="0.25">
      <c r="E497" s="39"/>
      <c r="F497" s="42"/>
      <c r="G497" s="42"/>
      <c r="H497" s="42"/>
    </row>
    <row r="498" spans="5:8" x14ac:dyDescent="0.25">
      <c r="E498" s="39"/>
      <c r="F498" s="42"/>
      <c r="G498" s="42"/>
      <c r="H498" s="42"/>
    </row>
    <row r="499" spans="5:8" x14ac:dyDescent="0.25">
      <c r="E499" s="39"/>
      <c r="F499" s="42"/>
      <c r="G499" s="42"/>
      <c r="H499" s="42"/>
    </row>
    <row r="500" spans="5:8" x14ac:dyDescent="0.25">
      <c r="E500" s="39"/>
      <c r="F500" s="42"/>
      <c r="G500" s="42"/>
      <c r="H500" s="42"/>
    </row>
    <row r="501" spans="5:8" x14ac:dyDescent="0.25">
      <c r="E501" s="39"/>
      <c r="F501" s="42"/>
      <c r="G501" s="42"/>
      <c r="H501" s="42"/>
    </row>
    <row r="502" spans="5:8" x14ac:dyDescent="0.25">
      <c r="E502" s="39"/>
      <c r="F502" s="42"/>
      <c r="G502" s="42"/>
      <c r="H502" s="42"/>
    </row>
    <row r="503" spans="5:8" x14ac:dyDescent="0.25">
      <c r="E503" s="39"/>
      <c r="F503" s="42"/>
      <c r="G503" s="42"/>
      <c r="H503" s="42"/>
    </row>
    <row r="504" spans="5:8" x14ac:dyDescent="0.25">
      <c r="E504" s="39"/>
      <c r="F504" s="42"/>
      <c r="G504" s="42"/>
      <c r="H504" s="42"/>
    </row>
    <row r="505" spans="5:8" x14ac:dyDescent="0.25">
      <c r="E505" s="39"/>
      <c r="F505" s="42"/>
      <c r="G505" s="42"/>
      <c r="H505" s="42"/>
    </row>
    <row r="506" spans="5:8" x14ac:dyDescent="0.25">
      <c r="E506" s="39"/>
      <c r="F506" s="42"/>
      <c r="G506" s="42"/>
      <c r="H506" s="42"/>
    </row>
    <row r="507" spans="5:8" x14ac:dyDescent="0.25">
      <c r="E507" s="39"/>
      <c r="F507" s="42"/>
      <c r="G507" s="42"/>
      <c r="H507" s="42"/>
    </row>
    <row r="508" spans="5:8" x14ac:dyDescent="0.25">
      <c r="E508" s="39"/>
      <c r="F508" s="42"/>
      <c r="G508" s="42"/>
      <c r="H508" s="42"/>
    </row>
    <row r="509" spans="5:8" x14ac:dyDescent="0.25">
      <c r="E509" s="39"/>
      <c r="F509" s="42"/>
      <c r="G509" s="42"/>
      <c r="H509" s="42"/>
    </row>
    <row r="510" spans="5:8" x14ac:dyDescent="0.25">
      <c r="E510" s="39"/>
      <c r="F510" s="42"/>
      <c r="G510" s="42"/>
      <c r="H510" s="42"/>
    </row>
    <row r="511" spans="5:8" x14ac:dyDescent="0.25">
      <c r="E511" s="39"/>
      <c r="F511" s="42"/>
      <c r="G511" s="42"/>
      <c r="H511" s="42"/>
    </row>
    <row r="512" spans="5:8" x14ac:dyDescent="0.25">
      <c r="E512" s="39"/>
      <c r="F512" s="42"/>
      <c r="G512" s="42"/>
      <c r="H512" s="42"/>
    </row>
    <row r="513" spans="5:8" x14ac:dyDescent="0.25">
      <c r="E513" s="39"/>
      <c r="F513" s="42"/>
      <c r="G513" s="42"/>
      <c r="H513" s="42"/>
    </row>
    <row r="514" spans="5:8" x14ac:dyDescent="0.25">
      <c r="E514" s="39"/>
      <c r="F514" s="42"/>
      <c r="G514" s="42"/>
      <c r="H514" s="42"/>
    </row>
    <row r="515" spans="5:8" x14ac:dyDescent="0.25">
      <c r="E515" s="39"/>
      <c r="F515" s="42"/>
      <c r="G515" s="42"/>
      <c r="H515" s="42"/>
    </row>
    <row r="516" spans="5:8" x14ac:dyDescent="0.25">
      <c r="E516" s="39"/>
      <c r="F516" s="42"/>
      <c r="G516" s="42"/>
      <c r="H516" s="42"/>
    </row>
    <row r="517" spans="5:8" x14ac:dyDescent="0.25">
      <c r="E517" s="39"/>
      <c r="F517" s="42"/>
      <c r="G517" s="42"/>
      <c r="H517" s="42"/>
    </row>
    <row r="518" spans="5:8" x14ac:dyDescent="0.25">
      <c r="E518" s="39"/>
      <c r="F518" s="42"/>
      <c r="G518" s="42"/>
      <c r="H518" s="42"/>
    </row>
    <row r="519" spans="5:8" x14ac:dyDescent="0.25">
      <c r="E519" s="39"/>
      <c r="F519" s="42"/>
      <c r="G519" s="42"/>
      <c r="H519" s="42"/>
    </row>
    <row r="520" spans="5:8" x14ac:dyDescent="0.25">
      <c r="E520" s="39"/>
      <c r="F520" s="42"/>
      <c r="G520" s="42"/>
      <c r="H520" s="42"/>
    </row>
    <row r="521" spans="5:8" x14ac:dyDescent="0.25">
      <c r="E521" s="39"/>
      <c r="F521" s="42"/>
      <c r="G521" s="42"/>
      <c r="H521" s="42"/>
    </row>
    <row r="522" spans="5:8" x14ac:dyDescent="0.25">
      <c r="E522" s="39"/>
      <c r="F522" s="42"/>
      <c r="G522" s="42"/>
      <c r="H522" s="42"/>
    </row>
    <row r="523" spans="5:8" x14ac:dyDescent="0.25">
      <c r="E523" s="39"/>
      <c r="F523" s="42"/>
      <c r="G523" s="42"/>
      <c r="H523" s="42"/>
    </row>
    <row r="524" spans="5:8" x14ac:dyDescent="0.25">
      <c r="E524" s="39"/>
      <c r="F524" s="42"/>
      <c r="G524" s="42"/>
      <c r="H524" s="42"/>
    </row>
    <row r="525" spans="5:8" x14ac:dyDescent="0.25">
      <c r="E525" s="39"/>
      <c r="F525" s="42"/>
      <c r="G525" s="42"/>
      <c r="H525" s="42"/>
    </row>
    <row r="526" spans="5:8" x14ac:dyDescent="0.25">
      <c r="E526" s="39"/>
      <c r="F526" s="42"/>
      <c r="G526" s="42"/>
      <c r="H526" s="42"/>
    </row>
    <row r="527" spans="5:8" x14ac:dyDescent="0.25">
      <c r="E527" s="39"/>
      <c r="F527" s="42"/>
      <c r="G527" s="42"/>
      <c r="H527" s="42"/>
    </row>
    <row r="528" spans="5:8" x14ac:dyDescent="0.25">
      <c r="E528" s="39"/>
      <c r="F528" s="42"/>
      <c r="G528" s="42"/>
      <c r="H528" s="42"/>
    </row>
    <row r="529" spans="5:8" x14ac:dyDescent="0.25">
      <c r="E529" s="39"/>
      <c r="F529" s="42"/>
      <c r="G529" s="42"/>
      <c r="H529" s="42"/>
    </row>
    <row r="530" spans="5:8" x14ac:dyDescent="0.25">
      <c r="E530" s="39"/>
      <c r="F530" s="42"/>
      <c r="G530" s="42"/>
      <c r="H530" s="42"/>
    </row>
    <row r="531" spans="5:8" x14ac:dyDescent="0.25">
      <c r="E531" s="39"/>
      <c r="F531" s="42"/>
      <c r="G531" s="42"/>
      <c r="H531" s="42"/>
    </row>
    <row r="532" spans="5:8" x14ac:dyDescent="0.25">
      <c r="E532" s="39"/>
      <c r="F532" s="42"/>
      <c r="G532" s="42"/>
      <c r="H532" s="42"/>
    </row>
    <row r="533" spans="5:8" x14ac:dyDescent="0.25">
      <c r="E533" s="39"/>
      <c r="F533" s="42"/>
      <c r="G533" s="42"/>
      <c r="H533" s="42"/>
    </row>
    <row r="534" spans="5:8" x14ac:dyDescent="0.25">
      <c r="E534" s="39"/>
      <c r="F534" s="42"/>
      <c r="G534" s="42"/>
      <c r="H534" s="42"/>
    </row>
    <row r="535" spans="5:8" x14ac:dyDescent="0.25">
      <c r="E535" s="39"/>
      <c r="F535" s="42"/>
      <c r="G535" s="42"/>
      <c r="H535" s="42"/>
    </row>
    <row r="536" spans="5:8" x14ac:dyDescent="0.25">
      <c r="E536" s="39"/>
      <c r="F536" s="42"/>
      <c r="G536" s="42"/>
      <c r="H536" s="42"/>
    </row>
    <row r="537" spans="5:8" x14ac:dyDescent="0.25">
      <c r="E537" s="39"/>
      <c r="F537" s="42"/>
      <c r="G537" s="42"/>
      <c r="H537" s="42"/>
    </row>
    <row r="538" spans="5:8" x14ac:dyDescent="0.25">
      <c r="E538" s="39"/>
      <c r="F538" s="42"/>
      <c r="G538" s="42"/>
      <c r="H538" s="42"/>
    </row>
    <row r="539" spans="5:8" x14ac:dyDescent="0.25">
      <c r="E539" s="39"/>
      <c r="F539" s="42"/>
      <c r="G539" s="42"/>
      <c r="H539" s="42"/>
    </row>
    <row r="540" spans="5:8" x14ac:dyDescent="0.25">
      <c r="E540" s="39"/>
      <c r="F540" s="42"/>
      <c r="G540" s="42"/>
      <c r="H540" s="42"/>
    </row>
    <row r="541" spans="5:8" x14ac:dyDescent="0.25">
      <c r="E541" s="39"/>
      <c r="F541" s="42"/>
      <c r="G541" s="42"/>
      <c r="H541" s="42"/>
    </row>
    <row r="542" spans="5:8" x14ac:dyDescent="0.25">
      <c r="E542" s="39"/>
      <c r="F542" s="42"/>
      <c r="G542" s="42"/>
      <c r="H542" s="42"/>
    </row>
    <row r="543" spans="5:8" x14ac:dyDescent="0.25">
      <c r="E543" s="39"/>
      <c r="F543" s="42"/>
      <c r="G543" s="42"/>
      <c r="H543" s="42"/>
    </row>
    <row r="544" spans="5:8" x14ac:dyDescent="0.25">
      <c r="E544" s="39"/>
      <c r="F544" s="42"/>
      <c r="G544" s="42"/>
      <c r="H544" s="42"/>
    </row>
    <row r="545" spans="5:8" x14ac:dyDescent="0.25">
      <c r="E545" s="39"/>
      <c r="F545" s="42"/>
      <c r="G545" s="42"/>
      <c r="H545" s="42"/>
    </row>
    <row r="546" spans="5:8" x14ac:dyDescent="0.25">
      <c r="E546" s="39"/>
      <c r="F546" s="42"/>
      <c r="G546" s="42"/>
      <c r="H546" s="42"/>
    </row>
    <row r="547" spans="5:8" x14ac:dyDescent="0.25">
      <c r="E547" s="39"/>
      <c r="F547" s="42"/>
      <c r="G547" s="42"/>
      <c r="H547" s="42"/>
    </row>
    <row r="548" spans="5:8" x14ac:dyDescent="0.25">
      <c r="E548" s="39"/>
      <c r="F548" s="42"/>
      <c r="G548" s="42"/>
      <c r="H548" s="42"/>
    </row>
    <row r="549" spans="5:8" x14ac:dyDescent="0.25">
      <c r="E549" s="39"/>
      <c r="F549" s="42"/>
      <c r="G549" s="42"/>
      <c r="H549" s="42"/>
    </row>
    <row r="550" spans="5:8" x14ac:dyDescent="0.25">
      <c r="E550" s="39"/>
      <c r="F550" s="42"/>
      <c r="G550" s="42"/>
      <c r="H550" s="42"/>
    </row>
    <row r="551" spans="5:8" x14ac:dyDescent="0.25">
      <c r="E551" s="39"/>
      <c r="F551" s="42"/>
      <c r="G551" s="42"/>
      <c r="H551" s="42"/>
    </row>
    <row r="552" spans="5:8" x14ac:dyDescent="0.25">
      <c r="E552" s="39"/>
      <c r="F552" s="42"/>
      <c r="G552" s="42"/>
      <c r="H552" s="42"/>
    </row>
    <row r="553" spans="5:8" x14ac:dyDescent="0.25">
      <c r="E553" s="39"/>
      <c r="F553" s="42"/>
      <c r="G553" s="42"/>
      <c r="H553" s="42"/>
    </row>
    <row r="554" spans="5:8" x14ac:dyDescent="0.25">
      <c r="E554" s="39"/>
      <c r="F554" s="42"/>
      <c r="G554" s="42"/>
      <c r="H554" s="42"/>
    </row>
    <row r="555" spans="5:8" x14ac:dyDescent="0.25">
      <c r="E555" s="39"/>
      <c r="F555" s="42"/>
      <c r="G555" s="42"/>
      <c r="H555" s="42"/>
    </row>
    <row r="556" spans="5:8" x14ac:dyDescent="0.25">
      <c r="E556" s="39"/>
      <c r="F556" s="42"/>
      <c r="G556" s="42"/>
      <c r="H556" s="42"/>
    </row>
    <row r="557" spans="5:8" x14ac:dyDescent="0.25">
      <c r="E557" s="39"/>
      <c r="F557" s="42"/>
      <c r="G557" s="42"/>
      <c r="H557" s="42"/>
    </row>
    <row r="558" spans="5:8" x14ac:dyDescent="0.25">
      <c r="E558" s="39"/>
      <c r="F558" s="42"/>
      <c r="G558" s="42"/>
      <c r="H558" s="42"/>
    </row>
    <row r="559" spans="5:8" x14ac:dyDescent="0.25">
      <c r="E559" s="39"/>
      <c r="F559" s="42"/>
      <c r="G559" s="42"/>
      <c r="H559" s="42"/>
    </row>
    <row r="560" spans="5:8" x14ac:dyDescent="0.25">
      <c r="E560" s="39"/>
      <c r="F560" s="42"/>
      <c r="G560" s="42"/>
      <c r="H560" s="42"/>
    </row>
    <row r="561" spans="5:8" x14ac:dyDescent="0.25">
      <c r="E561" s="39"/>
      <c r="F561" s="42"/>
      <c r="G561" s="42"/>
      <c r="H561" s="42"/>
    </row>
    <row r="562" spans="5:8" x14ac:dyDescent="0.25">
      <c r="E562" s="39"/>
      <c r="F562" s="42"/>
      <c r="G562" s="42"/>
      <c r="H562" s="42"/>
    </row>
    <row r="563" spans="5:8" x14ac:dyDescent="0.25">
      <c r="E563" s="39"/>
      <c r="F563" s="42"/>
      <c r="G563" s="42"/>
      <c r="H563" s="42"/>
    </row>
    <row r="564" spans="5:8" x14ac:dyDescent="0.25">
      <c r="E564" s="39"/>
      <c r="F564" s="42"/>
      <c r="G564" s="42"/>
      <c r="H564" s="42"/>
    </row>
    <row r="565" spans="5:8" x14ac:dyDescent="0.25">
      <c r="E565" s="39"/>
      <c r="F565" s="42"/>
      <c r="G565" s="42"/>
      <c r="H565" s="42"/>
    </row>
    <row r="566" spans="5:8" x14ac:dyDescent="0.25">
      <c r="E566" s="39"/>
      <c r="F566" s="42"/>
      <c r="G566" s="42"/>
      <c r="H566" s="42"/>
    </row>
    <row r="567" spans="5:8" x14ac:dyDescent="0.25">
      <c r="E567" s="39"/>
      <c r="F567" s="42"/>
      <c r="G567" s="42"/>
      <c r="H567" s="42"/>
    </row>
    <row r="568" spans="5:8" x14ac:dyDescent="0.25">
      <c r="E568" s="39"/>
      <c r="F568" s="42"/>
      <c r="G568" s="42"/>
      <c r="H568" s="42"/>
    </row>
    <row r="569" spans="5:8" x14ac:dyDescent="0.25">
      <c r="E569" s="39"/>
      <c r="F569" s="42"/>
      <c r="G569" s="42"/>
      <c r="H569" s="42"/>
    </row>
    <row r="570" spans="5:8" x14ac:dyDescent="0.25">
      <c r="E570" s="39"/>
      <c r="F570" s="42"/>
      <c r="G570" s="42"/>
      <c r="H570" s="42"/>
    </row>
    <row r="571" spans="5:8" x14ac:dyDescent="0.25">
      <c r="E571" s="39"/>
      <c r="F571" s="42"/>
      <c r="G571" s="42"/>
      <c r="H571" s="42"/>
    </row>
    <row r="572" spans="5:8" x14ac:dyDescent="0.25">
      <c r="E572" s="39"/>
      <c r="F572" s="42"/>
      <c r="G572" s="42"/>
      <c r="H572" s="42"/>
    </row>
    <row r="573" spans="5:8" x14ac:dyDescent="0.25">
      <c r="E573" s="39"/>
      <c r="F573" s="42"/>
      <c r="G573" s="42"/>
      <c r="H573" s="42"/>
    </row>
    <row r="574" spans="5:8" x14ac:dyDescent="0.25">
      <c r="E574" s="39"/>
      <c r="F574" s="42"/>
      <c r="G574" s="42"/>
      <c r="H574" s="42"/>
    </row>
    <row r="575" spans="5:8" x14ac:dyDescent="0.25">
      <c r="E575" s="39"/>
      <c r="F575" s="42"/>
      <c r="G575" s="42"/>
      <c r="H575" s="42"/>
    </row>
    <row r="576" spans="5:8" x14ac:dyDescent="0.25">
      <c r="E576" s="39"/>
      <c r="F576" s="42"/>
      <c r="G576" s="42"/>
      <c r="H576" s="42"/>
    </row>
    <row r="577" spans="5:8" x14ac:dyDescent="0.25">
      <c r="E577" s="39"/>
      <c r="F577" s="42"/>
      <c r="G577" s="42"/>
      <c r="H577" s="42"/>
    </row>
    <row r="578" spans="5:8" x14ac:dyDescent="0.25">
      <c r="E578" s="39"/>
      <c r="F578" s="42"/>
      <c r="G578" s="42"/>
      <c r="H578" s="42"/>
    </row>
    <row r="579" spans="5:8" x14ac:dyDescent="0.25">
      <c r="E579" s="39"/>
      <c r="F579" s="42"/>
      <c r="G579" s="42"/>
      <c r="H579" s="42"/>
    </row>
    <row r="580" spans="5:8" x14ac:dyDescent="0.25">
      <c r="E580" s="39"/>
      <c r="F580" s="42"/>
      <c r="G580" s="42"/>
      <c r="H580" s="42"/>
    </row>
    <row r="581" spans="5:8" x14ac:dyDescent="0.25">
      <c r="E581" s="39"/>
      <c r="F581" s="42"/>
      <c r="G581" s="42"/>
      <c r="H581" s="42"/>
    </row>
    <row r="582" spans="5:8" x14ac:dyDescent="0.25">
      <c r="E582" s="39"/>
      <c r="F582" s="42"/>
      <c r="G582" s="42"/>
      <c r="H582" s="42"/>
    </row>
    <row r="583" spans="5:8" x14ac:dyDescent="0.25">
      <c r="E583" s="39"/>
      <c r="F583" s="42"/>
      <c r="G583" s="42"/>
      <c r="H583" s="42"/>
    </row>
    <row r="584" spans="5:8" x14ac:dyDescent="0.25">
      <c r="E584" s="39"/>
      <c r="F584" s="42"/>
      <c r="G584" s="42"/>
      <c r="H584" s="42"/>
    </row>
    <row r="585" spans="5:8" x14ac:dyDescent="0.25">
      <c r="E585" s="39"/>
      <c r="F585" s="42"/>
      <c r="G585" s="42"/>
      <c r="H585" s="42"/>
    </row>
    <row r="586" spans="5:8" x14ac:dyDescent="0.25">
      <c r="E586" s="39"/>
      <c r="F586" s="42"/>
      <c r="G586" s="42"/>
      <c r="H586" s="42"/>
    </row>
    <row r="587" spans="5:8" x14ac:dyDescent="0.25">
      <c r="E587" s="39"/>
      <c r="F587" s="42"/>
      <c r="G587" s="42"/>
      <c r="H587" s="42"/>
    </row>
    <row r="588" spans="5:8" x14ac:dyDescent="0.25">
      <c r="E588" s="39"/>
      <c r="F588" s="42"/>
      <c r="G588" s="42"/>
      <c r="H588" s="42"/>
    </row>
    <row r="589" spans="5:8" x14ac:dyDescent="0.25">
      <c r="E589" s="39"/>
      <c r="F589" s="42"/>
      <c r="G589" s="42"/>
      <c r="H589" s="42"/>
    </row>
    <row r="590" spans="5:8" x14ac:dyDescent="0.25">
      <c r="E590" s="39"/>
      <c r="F590" s="42"/>
      <c r="G590" s="42"/>
      <c r="H590" s="42"/>
    </row>
    <row r="591" spans="5:8" x14ac:dyDescent="0.25">
      <c r="E591" s="39"/>
      <c r="F591" s="42"/>
      <c r="G591" s="42"/>
      <c r="H591" s="42"/>
    </row>
    <row r="592" spans="5:8" x14ac:dyDescent="0.25">
      <c r="E592" s="39"/>
      <c r="F592" s="42"/>
      <c r="G592" s="42"/>
      <c r="H592" s="42"/>
    </row>
    <row r="593" spans="5:8" x14ac:dyDescent="0.25">
      <c r="E593" s="39"/>
      <c r="F593" s="42"/>
      <c r="G593" s="42"/>
      <c r="H593" s="42"/>
    </row>
    <row r="594" spans="5:8" x14ac:dyDescent="0.25">
      <c r="E594" s="39"/>
      <c r="F594" s="42"/>
      <c r="G594" s="42"/>
      <c r="H594" s="42"/>
    </row>
    <row r="595" spans="5:8" x14ac:dyDescent="0.25">
      <c r="E595" s="39"/>
      <c r="F595" s="42"/>
      <c r="G595" s="42"/>
      <c r="H595" s="42"/>
    </row>
    <row r="596" spans="5:8" x14ac:dyDescent="0.25">
      <c r="E596" s="39"/>
      <c r="F596" s="42"/>
      <c r="G596" s="42"/>
      <c r="H596" s="42"/>
    </row>
    <row r="597" spans="5:8" x14ac:dyDescent="0.25">
      <c r="E597" s="39"/>
      <c r="F597" s="42"/>
      <c r="G597" s="42"/>
      <c r="H597" s="42"/>
    </row>
    <row r="598" spans="5:8" x14ac:dyDescent="0.25">
      <c r="E598" s="39"/>
      <c r="F598" s="42"/>
      <c r="G598" s="42"/>
      <c r="H598" s="42"/>
    </row>
    <row r="599" spans="5:8" x14ac:dyDescent="0.25">
      <c r="E599" s="39"/>
      <c r="F599" s="42"/>
      <c r="G599" s="42"/>
      <c r="H599" s="42"/>
    </row>
    <row r="600" spans="5:8" x14ac:dyDescent="0.25">
      <c r="E600" s="39"/>
      <c r="F600" s="42"/>
      <c r="G600" s="42"/>
      <c r="H600" s="42"/>
    </row>
    <row r="601" spans="5:8" x14ac:dyDescent="0.25">
      <c r="E601" s="39"/>
      <c r="F601" s="42"/>
      <c r="G601" s="42"/>
      <c r="H601" s="42"/>
    </row>
    <row r="602" spans="5:8" x14ac:dyDescent="0.25">
      <c r="E602" s="39"/>
      <c r="F602" s="42"/>
      <c r="G602" s="42"/>
      <c r="H602" s="42"/>
    </row>
    <row r="603" spans="5:8" x14ac:dyDescent="0.25">
      <c r="E603" s="39"/>
      <c r="F603" s="42"/>
      <c r="G603" s="42"/>
      <c r="H603" s="42"/>
    </row>
    <row r="604" spans="5:8" x14ac:dyDescent="0.25">
      <c r="E604" s="39"/>
      <c r="F604" s="42"/>
      <c r="G604" s="42"/>
      <c r="H604" s="42"/>
    </row>
    <row r="605" spans="5:8" x14ac:dyDescent="0.25">
      <c r="E605" s="39"/>
      <c r="F605" s="42"/>
      <c r="G605" s="42"/>
      <c r="H605" s="42"/>
    </row>
    <row r="606" spans="5:8" x14ac:dyDescent="0.25">
      <c r="E606" s="39"/>
      <c r="F606" s="42"/>
      <c r="G606" s="42"/>
      <c r="H606" s="42"/>
    </row>
    <row r="607" spans="5:8" x14ac:dyDescent="0.25">
      <c r="E607" s="39"/>
      <c r="F607" s="42"/>
      <c r="G607" s="42"/>
      <c r="H607" s="42"/>
    </row>
    <row r="608" spans="5:8" x14ac:dyDescent="0.25">
      <c r="E608" s="39"/>
      <c r="F608" s="42"/>
      <c r="G608" s="42"/>
      <c r="H608" s="42"/>
    </row>
    <row r="609" spans="5:8" x14ac:dyDescent="0.25">
      <c r="E609" s="39"/>
      <c r="F609" s="42"/>
      <c r="G609" s="42"/>
      <c r="H609" s="42"/>
    </row>
    <row r="610" spans="5:8" x14ac:dyDescent="0.25">
      <c r="E610" s="39"/>
      <c r="F610" s="42"/>
      <c r="G610" s="42"/>
      <c r="H610" s="42"/>
    </row>
    <row r="611" spans="5:8" x14ac:dyDescent="0.25">
      <c r="E611" s="39"/>
      <c r="F611" s="42"/>
      <c r="G611" s="42"/>
      <c r="H611" s="42"/>
    </row>
    <row r="612" spans="5:8" x14ac:dyDescent="0.25">
      <c r="E612" s="39"/>
      <c r="F612" s="42"/>
      <c r="G612" s="42"/>
      <c r="H612" s="42"/>
    </row>
    <row r="613" spans="5:8" x14ac:dyDescent="0.25">
      <c r="E613" s="39"/>
      <c r="F613" s="42"/>
      <c r="G613" s="42"/>
      <c r="H613" s="42"/>
    </row>
    <row r="614" spans="5:8" x14ac:dyDescent="0.25">
      <c r="E614" s="39"/>
      <c r="F614" s="42"/>
      <c r="G614" s="42"/>
      <c r="H614" s="42"/>
    </row>
    <row r="615" spans="5:8" x14ac:dyDescent="0.25">
      <c r="E615" s="39"/>
      <c r="F615" s="42"/>
      <c r="G615" s="42"/>
      <c r="H615" s="42"/>
    </row>
    <row r="616" spans="5:8" x14ac:dyDescent="0.25">
      <c r="E616" s="39"/>
      <c r="F616" s="42"/>
      <c r="G616" s="42"/>
      <c r="H616" s="42"/>
    </row>
    <row r="617" spans="5:8" x14ac:dyDescent="0.25">
      <c r="E617" s="39"/>
      <c r="F617" s="42"/>
      <c r="G617" s="42"/>
      <c r="H617" s="42"/>
    </row>
    <row r="618" spans="5:8" x14ac:dyDescent="0.25">
      <c r="E618" s="39"/>
      <c r="F618" s="42"/>
      <c r="G618" s="42"/>
      <c r="H618" s="42"/>
    </row>
    <row r="619" spans="5:8" x14ac:dyDescent="0.25">
      <c r="E619" s="39"/>
      <c r="F619" s="42"/>
      <c r="G619" s="42"/>
      <c r="H619" s="42"/>
    </row>
    <row r="620" spans="5:8" x14ac:dyDescent="0.25">
      <c r="E620" s="39"/>
      <c r="F620" s="42"/>
      <c r="G620" s="42"/>
      <c r="H620" s="42"/>
    </row>
    <row r="621" spans="5:8" x14ac:dyDescent="0.25">
      <c r="E621" s="39"/>
      <c r="F621" s="42"/>
      <c r="G621" s="42"/>
      <c r="H621" s="42"/>
    </row>
    <row r="622" spans="5:8" x14ac:dyDescent="0.25">
      <c r="E622" s="39"/>
      <c r="F622" s="42"/>
      <c r="G622" s="42"/>
      <c r="H622" s="42"/>
    </row>
    <row r="623" spans="5:8" x14ac:dyDescent="0.25">
      <c r="E623" s="39"/>
      <c r="F623" s="42"/>
      <c r="G623" s="42"/>
      <c r="H623" s="42"/>
    </row>
    <row r="624" spans="5:8" x14ac:dyDescent="0.25">
      <c r="E624" s="39"/>
      <c r="F624" s="42"/>
      <c r="G624" s="42"/>
      <c r="H624" s="42"/>
    </row>
    <row r="625" spans="5:8" x14ac:dyDescent="0.25">
      <c r="E625" s="39"/>
      <c r="F625" s="42"/>
      <c r="G625" s="42"/>
      <c r="H625" s="42"/>
    </row>
    <row r="626" spans="5:8" x14ac:dyDescent="0.25">
      <c r="E626" s="39"/>
      <c r="F626" s="42"/>
      <c r="G626" s="42"/>
      <c r="H626" s="42"/>
    </row>
    <row r="627" spans="5:8" x14ac:dyDescent="0.25">
      <c r="E627" s="39"/>
      <c r="F627" s="42"/>
      <c r="G627" s="42"/>
      <c r="H627" s="42"/>
    </row>
    <row r="628" spans="5:8" x14ac:dyDescent="0.25">
      <c r="E628" s="39"/>
      <c r="F628" s="42"/>
      <c r="G628" s="42"/>
      <c r="H628" s="42"/>
    </row>
    <row r="629" spans="5:8" x14ac:dyDescent="0.25">
      <c r="E629" s="39"/>
      <c r="F629" s="42"/>
      <c r="G629" s="42"/>
      <c r="H629" s="42"/>
    </row>
    <row r="630" spans="5:8" x14ac:dyDescent="0.25">
      <c r="E630" s="39"/>
      <c r="F630" s="42"/>
      <c r="G630" s="42"/>
      <c r="H630" s="42"/>
    </row>
    <row r="631" spans="5:8" x14ac:dyDescent="0.25">
      <c r="E631" s="39"/>
      <c r="F631" s="42"/>
      <c r="G631" s="42"/>
      <c r="H631" s="42"/>
    </row>
    <row r="632" spans="5:8" x14ac:dyDescent="0.25">
      <c r="E632" s="39"/>
      <c r="F632" s="42"/>
      <c r="G632" s="42"/>
      <c r="H632" s="42"/>
    </row>
    <row r="633" spans="5:8" x14ac:dyDescent="0.25">
      <c r="E633" s="39"/>
      <c r="F633" s="42"/>
      <c r="G633" s="42"/>
      <c r="H633" s="42"/>
    </row>
    <row r="634" spans="5:8" x14ac:dyDescent="0.25">
      <c r="E634" s="39"/>
      <c r="F634" s="42"/>
      <c r="G634" s="42"/>
      <c r="H634" s="42"/>
    </row>
    <row r="635" spans="5:8" x14ac:dyDescent="0.25">
      <c r="E635" s="39"/>
      <c r="F635" s="42"/>
      <c r="G635" s="42"/>
      <c r="H635" s="42"/>
    </row>
    <row r="636" spans="5:8" x14ac:dyDescent="0.25">
      <c r="E636" s="39"/>
      <c r="F636" s="42"/>
      <c r="G636" s="42"/>
      <c r="H636" s="42"/>
    </row>
    <row r="637" spans="5:8" x14ac:dyDescent="0.25">
      <c r="E637" s="39"/>
      <c r="F637" s="42"/>
      <c r="G637" s="42"/>
      <c r="H637" s="42"/>
    </row>
    <row r="638" spans="5:8" x14ac:dyDescent="0.25">
      <c r="E638" s="39"/>
      <c r="F638" s="42"/>
      <c r="G638" s="42"/>
      <c r="H638" s="42"/>
    </row>
    <row r="639" spans="5:8" x14ac:dyDescent="0.25">
      <c r="E639" s="39"/>
      <c r="F639" s="42"/>
      <c r="G639" s="42"/>
      <c r="H639" s="42"/>
    </row>
    <row r="640" spans="5:8" x14ac:dyDescent="0.25">
      <c r="E640" s="39"/>
      <c r="F640" s="42"/>
      <c r="G640" s="42"/>
      <c r="H640" s="42"/>
    </row>
    <row r="641" spans="5:8" x14ac:dyDescent="0.25">
      <c r="E641" s="39"/>
      <c r="F641" s="42"/>
      <c r="G641" s="42"/>
      <c r="H641" s="42"/>
    </row>
    <row r="642" spans="5:8" x14ac:dyDescent="0.25">
      <c r="E642" s="39"/>
      <c r="F642" s="42"/>
      <c r="G642" s="42"/>
      <c r="H642" s="42"/>
    </row>
    <row r="643" spans="5:8" x14ac:dyDescent="0.25">
      <c r="E643" s="39"/>
      <c r="F643" s="42"/>
      <c r="G643" s="42"/>
      <c r="H643" s="42"/>
    </row>
    <row r="644" spans="5:8" x14ac:dyDescent="0.25">
      <c r="E644" s="39"/>
      <c r="F644" s="42"/>
      <c r="G644" s="42"/>
      <c r="H644" s="42"/>
    </row>
    <row r="645" spans="5:8" x14ac:dyDescent="0.25">
      <c r="E645" s="39"/>
      <c r="F645" s="42"/>
      <c r="G645" s="42"/>
      <c r="H645" s="42"/>
    </row>
    <row r="646" spans="5:8" x14ac:dyDescent="0.25">
      <c r="E646" s="39"/>
      <c r="F646" s="42"/>
      <c r="G646" s="42"/>
      <c r="H646" s="42"/>
    </row>
    <row r="647" spans="5:8" x14ac:dyDescent="0.25">
      <c r="E647" s="39"/>
      <c r="F647" s="42"/>
      <c r="G647" s="42"/>
      <c r="H647" s="42"/>
    </row>
    <row r="648" spans="5:8" x14ac:dyDescent="0.25">
      <c r="E648" s="39"/>
      <c r="F648" s="42"/>
      <c r="G648" s="42"/>
      <c r="H648" s="42"/>
    </row>
    <row r="649" spans="5:8" x14ac:dyDescent="0.25">
      <c r="E649" s="39"/>
      <c r="F649" s="42"/>
      <c r="G649" s="42"/>
      <c r="H649" s="42"/>
    </row>
    <row r="650" spans="5:8" x14ac:dyDescent="0.25">
      <c r="E650" s="39"/>
      <c r="F650" s="42"/>
      <c r="G650" s="42"/>
      <c r="H650" s="42"/>
    </row>
    <row r="651" spans="5:8" x14ac:dyDescent="0.25">
      <c r="E651" s="39"/>
      <c r="F651" s="42"/>
      <c r="G651" s="42"/>
      <c r="H651" s="42"/>
    </row>
    <row r="652" spans="5:8" x14ac:dyDescent="0.25">
      <c r="E652" s="39"/>
      <c r="F652" s="42"/>
      <c r="G652" s="42"/>
      <c r="H652" s="42"/>
    </row>
    <row r="653" spans="5:8" x14ac:dyDescent="0.25">
      <c r="E653" s="39"/>
      <c r="F653" s="42"/>
      <c r="G653" s="42"/>
      <c r="H653" s="42"/>
    </row>
    <row r="654" spans="5:8" x14ac:dyDescent="0.25">
      <c r="E654" s="39"/>
      <c r="F654" s="42"/>
      <c r="G654" s="42"/>
      <c r="H654" s="42"/>
    </row>
    <row r="655" spans="5:8" x14ac:dyDescent="0.25">
      <c r="E655" s="39"/>
      <c r="F655" s="42"/>
      <c r="G655" s="42"/>
      <c r="H655" s="42"/>
    </row>
    <row r="656" spans="5:8" x14ac:dyDescent="0.25">
      <c r="E656" s="39"/>
      <c r="F656" s="42"/>
      <c r="G656" s="42"/>
      <c r="H656" s="42"/>
    </row>
    <row r="657" spans="5:8" x14ac:dyDescent="0.25">
      <c r="E657" s="39"/>
      <c r="F657" s="42"/>
      <c r="G657" s="42"/>
      <c r="H657" s="42"/>
    </row>
    <row r="658" spans="5:8" x14ac:dyDescent="0.25">
      <c r="E658" s="39"/>
      <c r="F658" s="42"/>
      <c r="G658" s="42"/>
      <c r="H658" s="42"/>
    </row>
    <row r="659" spans="5:8" x14ac:dyDescent="0.25">
      <c r="E659" s="39"/>
      <c r="F659" s="42"/>
      <c r="G659" s="42"/>
      <c r="H659" s="42"/>
    </row>
    <row r="660" spans="5:8" x14ac:dyDescent="0.25">
      <c r="E660" s="39"/>
      <c r="F660" s="42"/>
      <c r="G660" s="42"/>
      <c r="H660" s="42"/>
    </row>
    <row r="661" spans="5:8" x14ac:dyDescent="0.25">
      <c r="E661" s="39"/>
      <c r="F661" s="42"/>
      <c r="G661" s="42"/>
      <c r="H661" s="42"/>
    </row>
    <row r="662" spans="5:8" x14ac:dyDescent="0.25">
      <c r="E662" s="39"/>
      <c r="F662" s="42"/>
      <c r="G662" s="42"/>
      <c r="H662" s="42"/>
    </row>
    <row r="663" spans="5:8" x14ac:dyDescent="0.25">
      <c r="E663" s="39"/>
      <c r="F663" s="42"/>
      <c r="G663" s="42"/>
      <c r="H663" s="42"/>
    </row>
    <row r="664" spans="5:8" x14ac:dyDescent="0.25">
      <c r="E664" s="39"/>
      <c r="F664" s="42"/>
      <c r="G664" s="42"/>
      <c r="H664" s="42"/>
    </row>
    <row r="665" spans="5:8" x14ac:dyDescent="0.25">
      <c r="E665" s="39"/>
      <c r="F665" s="42"/>
      <c r="G665" s="42"/>
      <c r="H665" s="42"/>
    </row>
    <row r="666" spans="5:8" x14ac:dyDescent="0.25">
      <c r="E666" s="39"/>
      <c r="F666" s="42"/>
      <c r="G666" s="42"/>
      <c r="H666" s="42"/>
    </row>
    <row r="667" spans="5:8" x14ac:dyDescent="0.25">
      <c r="E667" s="39"/>
      <c r="F667" s="42"/>
      <c r="G667" s="42"/>
      <c r="H667" s="42"/>
    </row>
    <row r="668" spans="5:8" x14ac:dyDescent="0.25">
      <c r="E668" s="39"/>
      <c r="F668" s="42"/>
      <c r="G668" s="42"/>
      <c r="H668" s="42"/>
    </row>
    <row r="669" spans="5:8" x14ac:dyDescent="0.25">
      <c r="E669" s="39"/>
      <c r="F669" s="42"/>
      <c r="G669" s="42"/>
      <c r="H669" s="42"/>
    </row>
    <row r="670" spans="5:8" x14ac:dyDescent="0.25">
      <c r="E670" s="39"/>
      <c r="F670" s="42"/>
      <c r="G670" s="42"/>
      <c r="H670" s="42"/>
    </row>
    <row r="671" spans="5:8" x14ac:dyDescent="0.25">
      <c r="E671" s="39"/>
      <c r="F671" s="42"/>
      <c r="G671" s="42"/>
      <c r="H671" s="42"/>
    </row>
    <row r="672" spans="5:8" x14ac:dyDescent="0.25">
      <c r="E672" s="39"/>
      <c r="F672" s="42"/>
      <c r="G672" s="42"/>
      <c r="H672" s="42"/>
    </row>
    <row r="673" spans="5:8" x14ac:dyDescent="0.25">
      <c r="E673" s="39"/>
      <c r="F673" s="42"/>
      <c r="G673" s="42"/>
      <c r="H673" s="42"/>
    </row>
    <row r="674" spans="5:8" x14ac:dyDescent="0.25">
      <c r="E674" s="39"/>
      <c r="F674" s="42"/>
      <c r="G674" s="42"/>
      <c r="H674" s="42"/>
    </row>
    <row r="675" spans="5:8" x14ac:dyDescent="0.25">
      <c r="E675" s="39"/>
      <c r="F675" s="42"/>
      <c r="G675" s="42"/>
      <c r="H675" s="42"/>
    </row>
    <row r="676" spans="5:8" x14ac:dyDescent="0.25">
      <c r="E676" s="39"/>
      <c r="F676" s="42"/>
      <c r="G676" s="42"/>
      <c r="H676" s="42"/>
    </row>
    <row r="677" spans="5:8" x14ac:dyDescent="0.25">
      <c r="E677" s="39"/>
      <c r="F677" s="42"/>
      <c r="G677" s="42"/>
      <c r="H677" s="42"/>
    </row>
    <row r="678" spans="5:8" x14ac:dyDescent="0.25">
      <c r="E678" s="39"/>
      <c r="F678" s="42"/>
      <c r="G678" s="42"/>
      <c r="H678" s="42"/>
    </row>
    <row r="679" spans="5:8" x14ac:dyDescent="0.25">
      <c r="E679" s="39"/>
      <c r="F679" s="42"/>
      <c r="G679" s="42"/>
      <c r="H679" s="42"/>
    </row>
    <row r="680" spans="5:8" x14ac:dyDescent="0.25">
      <c r="E680" s="39"/>
      <c r="F680" s="42"/>
      <c r="G680" s="42"/>
      <c r="H680" s="42"/>
    </row>
    <row r="681" spans="5:8" x14ac:dyDescent="0.25">
      <c r="E681" s="39"/>
      <c r="F681" s="42"/>
      <c r="G681" s="42"/>
      <c r="H681" s="42"/>
    </row>
    <row r="682" spans="5:8" x14ac:dyDescent="0.25">
      <c r="E682" s="39"/>
      <c r="F682" s="42"/>
      <c r="G682" s="42"/>
      <c r="H682" s="42"/>
    </row>
    <row r="683" spans="5:8" x14ac:dyDescent="0.25">
      <c r="E683" s="39"/>
      <c r="F683" s="42"/>
      <c r="G683" s="42"/>
      <c r="H683" s="42"/>
    </row>
    <row r="684" spans="5:8" x14ac:dyDescent="0.25">
      <c r="E684" s="39"/>
      <c r="F684" s="42"/>
      <c r="G684" s="42"/>
      <c r="H684" s="42"/>
    </row>
    <row r="685" spans="5:8" x14ac:dyDescent="0.25">
      <c r="E685" s="39"/>
      <c r="F685" s="42"/>
      <c r="G685" s="42"/>
      <c r="H685" s="42"/>
    </row>
    <row r="686" spans="5:8" x14ac:dyDescent="0.25">
      <c r="E686" s="39"/>
      <c r="F686" s="42"/>
      <c r="G686" s="42"/>
      <c r="H686" s="42"/>
    </row>
    <row r="687" spans="5:8" x14ac:dyDescent="0.25">
      <c r="E687" s="39"/>
      <c r="F687" s="42"/>
      <c r="G687" s="42"/>
      <c r="H687" s="42"/>
    </row>
    <row r="688" spans="5:8" x14ac:dyDescent="0.25">
      <c r="E688" s="39"/>
      <c r="F688" s="42"/>
      <c r="G688" s="42"/>
      <c r="H688" s="42"/>
    </row>
    <row r="689" spans="5:8" x14ac:dyDescent="0.25">
      <c r="E689" s="39"/>
      <c r="F689" s="42"/>
      <c r="G689" s="42"/>
      <c r="H689" s="42"/>
    </row>
    <row r="690" spans="5:8" x14ac:dyDescent="0.25">
      <c r="E690" s="39"/>
      <c r="F690" s="42"/>
      <c r="G690" s="42"/>
      <c r="H690" s="42"/>
    </row>
    <row r="691" spans="5:8" x14ac:dyDescent="0.25">
      <c r="E691" s="39"/>
      <c r="F691" s="42"/>
      <c r="G691" s="42"/>
      <c r="H691" s="42"/>
    </row>
    <row r="692" spans="5:8" x14ac:dyDescent="0.25">
      <c r="E692" s="39"/>
      <c r="F692" s="42"/>
      <c r="G692" s="42"/>
      <c r="H692" s="42"/>
    </row>
    <row r="693" spans="5:8" x14ac:dyDescent="0.25">
      <c r="E693" s="39"/>
      <c r="F693" s="42"/>
      <c r="G693" s="42"/>
      <c r="H693" s="42"/>
    </row>
    <row r="694" spans="5:8" x14ac:dyDescent="0.25">
      <c r="E694" s="39"/>
      <c r="F694" s="42"/>
      <c r="G694" s="42"/>
      <c r="H694" s="42"/>
    </row>
    <row r="695" spans="5:8" x14ac:dyDescent="0.25">
      <c r="E695" s="39"/>
      <c r="F695" s="42"/>
      <c r="G695" s="42"/>
      <c r="H695" s="42"/>
    </row>
    <row r="696" spans="5:8" x14ac:dyDescent="0.25">
      <c r="E696" s="39"/>
      <c r="F696" s="42"/>
      <c r="G696" s="42"/>
      <c r="H696" s="42"/>
    </row>
    <row r="697" spans="5:8" x14ac:dyDescent="0.25">
      <c r="E697" s="39"/>
      <c r="F697" s="42"/>
      <c r="G697" s="42"/>
      <c r="H697" s="42"/>
    </row>
    <row r="698" spans="5:8" x14ac:dyDescent="0.25">
      <c r="E698" s="39"/>
      <c r="F698" s="42"/>
      <c r="G698" s="42"/>
      <c r="H698" s="42"/>
    </row>
    <row r="699" spans="5:8" x14ac:dyDescent="0.25">
      <c r="E699" s="39"/>
      <c r="F699" s="42"/>
      <c r="G699" s="42"/>
      <c r="H699" s="42"/>
    </row>
    <row r="700" spans="5:8" x14ac:dyDescent="0.25">
      <c r="E700" s="39"/>
      <c r="F700" s="42"/>
      <c r="G700" s="42"/>
      <c r="H700" s="42"/>
    </row>
    <row r="701" spans="5:8" x14ac:dyDescent="0.25">
      <c r="E701" s="39"/>
      <c r="F701" s="42"/>
      <c r="G701" s="42"/>
      <c r="H701" s="42"/>
    </row>
    <row r="702" spans="5:8" x14ac:dyDescent="0.25">
      <c r="E702" s="39"/>
      <c r="F702" s="42"/>
      <c r="G702" s="42"/>
      <c r="H702" s="42"/>
    </row>
    <row r="703" spans="5:8" x14ac:dyDescent="0.25">
      <c r="E703" s="39"/>
      <c r="F703" s="42"/>
      <c r="G703" s="42"/>
      <c r="H703" s="42"/>
    </row>
    <row r="704" spans="5:8" x14ac:dyDescent="0.25">
      <c r="E704" s="39"/>
      <c r="F704" s="42"/>
      <c r="G704" s="42"/>
      <c r="H704" s="42"/>
    </row>
    <row r="705" spans="5:8" x14ac:dyDescent="0.25">
      <c r="E705" s="39"/>
      <c r="F705" s="42"/>
      <c r="G705" s="42"/>
      <c r="H705" s="42"/>
    </row>
    <row r="706" spans="5:8" x14ac:dyDescent="0.25">
      <c r="E706" s="39"/>
      <c r="F706" s="42"/>
      <c r="G706" s="42"/>
      <c r="H706" s="42"/>
    </row>
    <row r="707" spans="5:8" x14ac:dyDescent="0.25">
      <c r="E707" s="39"/>
      <c r="F707" s="42"/>
      <c r="G707" s="42"/>
      <c r="H707" s="42"/>
    </row>
    <row r="708" spans="5:8" x14ac:dyDescent="0.25">
      <c r="E708" s="39"/>
      <c r="F708" s="42"/>
      <c r="G708" s="42"/>
      <c r="H708" s="42"/>
    </row>
    <row r="709" spans="5:8" x14ac:dyDescent="0.25">
      <c r="E709" s="39"/>
      <c r="F709" s="42"/>
      <c r="G709" s="42"/>
      <c r="H709" s="42"/>
    </row>
    <row r="710" spans="5:8" x14ac:dyDescent="0.25">
      <c r="E710" s="39"/>
      <c r="F710" s="42"/>
      <c r="G710" s="42"/>
      <c r="H710" s="42"/>
    </row>
    <row r="711" spans="5:8" x14ac:dyDescent="0.25">
      <c r="E711" s="39"/>
      <c r="F711" s="42"/>
      <c r="G711" s="42"/>
      <c r="H711" s="42"/>
    </row>
    <row r="712" spans="5:8" x14ac:dyDescent="0.25">
      <c r="E712" s="39"/>
      <c r="F712" s="42"/>
      <c r="G712" s="42"/>
      <c r="H712" s="42"/>
    </row>
    <row r="713" spans="5:8" x14ac:dyDescent="0.25">
      <c r="E713" s="39"/>
      <c r="F713" s="42"/>
      <c r="G713" s="42"/>
      <c r="H713" s="42"/>
    </row>
    <row r="714" spans="5:8" x14ac:dyDescent="0.25">
      <c r="E714" s="39"/>
      <c r="F714" s="42"/>
      <c r="G714" s="42"/>
      <c r="H714" s="42"/>
    </row>
    <row r="715" spans="5:8" x14ac:dyDescent="0.25">
      <c r="E715" s="39"/>
      <c r="F715" s="42"/>
      <c r="G715" s="42"/>
      <c r="H715" s="42"/>
    </row>
    <row r="716" spans="5:8" x14ac:dyDescent="0.25">
      <c r="E716" s="39"/>
      <c r="F716" s="42"/>
      <c r="G716" s="42"/>
      <c r="H716" s="42"/>
    </row>
    <row r="717" spans="5:8" x14ac:dyDescent="0.25">
      <c r="E717" s="39"/>
      <c r="F717" s="42"/>
      <c r="G717" s="42"/>
      <c r="H717" s="42"/>
    </row>
    <row r="718" spans="5:8" x14ac:dyDescent="0.25">
      <c r="E718" s="39"/>
      <c r="F718" s="42"/>
      <c r="G718" s="42"/>
      <c r="H718" s="42"/>
    </row>
    <row r="719" spans="5:8" x14ac:dyDescent="0.25">
      <c r="E719" s="39"/>
      <c r="F719" s="42"/>
      <c r="G719" s="42"/>
      <c r="H719" s="42"/>
    </row>
    <row r="720" spans="5:8" x14ac:dyDescent="0.25">
      <c r="E720" s="39"/>
      <c r="F720" s="42"/>
      <c r="G720" s="42"/>
      <c r="H720" s="42"/>
    </row>
    <row r="721" spans="5:8" x14ac:dyDescent="0.25">
      <c r="E721" s="39"/>
      <c r="F721" s="42"/>
      <c r="G721" s="42"/>
      <c r="H721" s="42"/>
    </row>
    <row r="722" spans="5:8" x14ac:dyDescent="0.25">
      <c r="E722" s="39"/>
      <c r="F722" s="42"/>
      <c r="G722" s="42"/>
      <c r="H722" s="42"/>
    </row>
    <row r="723" spans="5:8" x14ac:dyDescent="0.25">
      <c r="E723" s="39"/>
      <c r="F723" s="42"/>
      <c r="G723" s="42"/>
      <c r="H723" s="42"/>
    </row>
    <row r="724" spans="5:8" x14ac:dyDescent="0.25">
      <c r="E724" s="39"/>
      <c r="F724" s="42"/>
      <c r="G724" s="42"/>
      <c r="H724" s="42"/>
    </row>
    <row r="725" spans="5:8" x14ac:dyDescent="0.25">
      <c r="E725" s="39"/>
      <c r="F725" s="42"/>
      <c r="G725" s="42"/>
      <c r="H725" s="42"/>
    </row>
    <row r="726" spans="5:8" x14ac:dyDescent="0.25">
      <c r="E726" s="39"/>
      <c r="F726" s="42"/>
      <c r="G726" s="42"/>
      <c r="H726" s="42"/>
    </row>
    <row r="727" spans="5:8" x14ac:dyDescent="0.25">
      <c r="E727" s="39"/>
      <c r="F727" s="42"/>
      <c r="G727" s="42"/>
      <c r="H727" s="42"/>
    </row>
    <row r="728" spans="5:8" x14ac:dyDescent="0.25">
      <c r="E728" s="39"/>
      <c r="F728" s="42"/>
      <c r="G728" s="42"/>
      <c r="H728" s="42"/>
    </row>
    <row r="729" spans="5:8" x14ac:dyDescent="0.25">
      <c r="E729" s="39"/>
      <c r="F729" s="42"/>
      <c r="G729" s="42"/>
      <c r="H729" s="42"/>
    </row>
    <row r="730" spans="5:8" x14ac:dyDescent="0.25">
      <c r="E730" s="39"/>
      <c r="F730" s="42"/>
      <c r="G730" s="42"/>
      <c r="H730" s="42"/>
    </row>
    <row r="731" spans="5:8" x14ac:dyDescent="0.25">
      <c r="E731" s="39"/>
      <c r="F731" s="42"/>
      <c r="G731" s="42"/>
      <c r="H731" s="42"/>
    </row>
    <row r="732" spans="5:8" x14ac:dyDescent="0.25">
      <c r="E732" s="39"/>
      <c r="F732" s="42"/>
      <c r="G732" s="42"/>
      <c r="H732" s="42"/>
    </row>
    <row r="733" spans="5:8" x14ac:dyDescent="0.25">
      <c r="E733" s="39"/>
      <c r="F733" s="42"/>
      <c r="G733" s="42"/>
      <c r="H733" s="42"/>
    </row>
    <row r="734" spans="5:8" x14ac:dyDescent="0.25">
      <c r="E734" s="39"/>
      <c r="F734" s="42"/>
      <c r="G734" s="42"/>
      <c r="H734" s="42"/>
    </row>
    <row r="735" spans="5:8" x14ac:dyDescent="0.25">
      <c r="E735" s="39"/>
      <c r="F735" s="42"/>
      <c r="G735" s="42"/>
      <c r="H735" s="42"/>
    </row>
    <row r="736" spans="5:8" x14ac:dyDescent="0.25">
      <c r="E736" s="39"/>
      <c r="F736" s="42"/>
      <c r="G736" s="42"/>
      <c r="H736" s="42"/>
    </row>
    <row r="737" spans="5:8" x14ac:dyDescent="0.25">
      <c r="E737" s="39"/>
      <c r="F737" s="42"/>
      <c r="G737" s="42"/>
      <c r="H737" s="42"/>
    </row>
    <row r="738" spans="5:8" x14ac:dyDescent="0.25">
      <c r="E738" s="39"/>
      <c r="F738" s="42"/>
      <c r="G738" s="42"/>
      <c r="H738" s="42"/>
    </row>
    <row r="739" spans="5:8" x14ac:dyDescent="0.25">
      <c r="E739" s="39"/>
      <c r="F739" s="42"/>
      <c r="G739" s="42"/>
      <c r="H739" s="42"/>
    </row>
    <row r="740" spans="5:8" x14ac:dyDescent="0.25">
      <c r="E740" s="39"/>
      <c r="F740" s="42"/>
      <c r="G740" s="42"/>
      <c r="H740" s="42"/>
    </row>
    <row r="741" spans="5:8" x14ac:dyDescent="0.25">
      <c r="E741" s="39"/>
      <c r="F741" s="42"/>
      <c r="G741" s="42"/>
      <c r="H741" s="42"/>
    </row>
    <row r="742" spans="5:8" x14ac:dyDescent="0.25">
      <c r="E742" s="39"/>
      <c r="F742" s="42"/>
      <c r="G742" s="42"/>
      <c r="H742" s="42"/>
    </row>
    <row r="743" spans="5:8" x14ac:dyDescent="0.25">
      <c r="E743" s="39"/>
      <c r="F743" s="42"/>
      <c r="G743" s="42"/>
      <c r="H743" s="42"/>
    </row>
    <row r="744" spans="5:8" x14ac:dyDescent="0.25">
      <c r="E744" s="39"/>
      <c r="F744" s="42"/>
      <c r="G744" s="42"/>
      <c r="H744" s="42"/>
    </row>
    <row r="745" spans="5:8" x14ac:dyDescent="0.25">
      <c r="E745" s="39"/>
      <c r="F745" s="42"/>
      <c r="G745" s="42"/>
      <c r="H745" s="42"/>
    </row>
    <row r="746" spans="5:8" x14ac:dyDescent="0.25">
      <c r="E746" s="39"/>
      <c r="F746" s="42"/>
      <c r="G746" s="42"/>
      <c r="H746" s="42"/>
    </row>
    <row r="747" spans="5:8" x14ac:dyDescent="0.25">
      <c r="E747" s="39"/>
      <c r="F747" s="42"/>
      <c r="G747" s="42"/>
      <c r="H747" s="42"/>
    </row>
    <row r="748" spans="5:8" x14ac:dyDescent="0.25">
      <c r="E748" s="39"/>
      <c r="F748" s="42"/>
      <c r="G748" s="42"/>
      <c r="H748" s="42"/>
    </row>
    <row r="749" spans="5:8" x14ac:dyDescent="0.25">
      <c r="E749" s="39"/>
      <c r="F749" s="42"/>
      <c r="G749" s="42"/>
      <c r="H749" s="42"/>
    </row>
    <row r="750" spans="5:8" x14ac:dyDescent="0.25">
      <c r="E750" s="39"/>
      <c r="F750" s="42"/>
      <c r="G750" s="42"/>
      <c r="H750" s="42"/>
    </row>
    <row r="751" spans="5:8" x14ac:dyDescent="0.25">
      <c r="E751" s="39"/>
      <c r="F751" s="42"/>
      <c r="G751" s="42"/>
      <c r="H751" s="42"/>
    </row>
    <row r="752" spans="5:8" x14ac:dyDescent="0.25">
      <c r="E752" s="39"/>
      <c r="F752" s="42"/>
      <c r="G752" s="42"/>
      <c r="H752" s="42"/>
    </row>
    <row r="753" spans="5:8" x14ac:dyDescent="0.25">
      <c r="E753" s="39"/>
      <c r="F753" s="42"/>
      <c r="G753" s="42"/>
      <c r="H753" s="42"/>
    </row>
    <row r="754" spans="5:8" x14ac:dyDescent="0.25">
      <c r="E754" s="39"/>
      <c r="F754" s="42"/>
      <c r="G754" s="42"/>
      <c r="H754" s="42"/>
    </row>
    <row r="755" spans="5:8" x14ac:dyDescent="0.25">
      <c r="E755" s="39"/>
      <c r="F755" s="42"/>
      <c r="G755" s="42"/>
      <c r="H755" s="42"/>
    </row>
    <row r="756" spans="5:8" x14ac:dyDescent="0.25">
      <c r="E756" s="39"/>
      <c r="F756" s="42"/>
      <c r="G756" s="42"/>
      <c r="H756" s="42"/>
    </row>
    <row r="757" spans="5:8" x14ac:dyDescent="0.25">
      <c r="E757" s="39"/>
      <c r="F757" s="42"/>
      <c r="G757" s="42"/>
      <c r="H757" s="42"/>
    </row>
    <row r="758" spans="5:8" x14ac:dyDescent="0.25">
      <c r="E758" s="39"/>
      <c r="F758" s="42"/>
      <c r="G758" s="42"/>
      <c r="H758" s="42"/>
    </row>
    <row r="759" spans="5:8" x14ac:dyDescent="0.25">
      <c r="E759" s="39"/>
      <c r="F759" s="42"/>
      <c r="G759" s="42"/>
      <c r="H759" s="42"/>
    </row>
    <row r="760" spans="5:8" x14ac:dyDescent="0.25">
      <c r="E760" s="39"/>
      <c r="F760" s="42"/>
      <c r="G760" s="42"/>
      <c r="H760" s="42"/>
    </row>
    <row r="761" spans="5:8" x14ac:dyDescent="0.25">
      <c r="E761" s="39"/>
      <c r="F761" s="42"/>
      <c r="G761" s="42"/>
      <c r="H761" s="42"/>
    </row>
    <row r="762" spans="5:8" x14ac:dyDescent="0.25">
      <c r="E762" s="39"/>
      <c r="F762" s="42"/>
      <c r="G762" s="42"/>
      <c r="H762" s="42"/>
    </row>
    <row r="763" spans="5:8" x14ac:dyDescent="0.25">
      <c r="E763" s="39"/>
      <c r="F763" s="42"/>
      <c r="G763" s="42"/>
      <c r="H763" s="42"/>
    </row>
    <row r="764" spans="5:8" x14ac:dyDescent="0.25">
      <c r="E764" s="39"/>
      <c r="F764" s="42"/>
      <c r="G764" s="42"/>
      <c r="H764" s="42"/>
    </row>
    <row r="765" spans="5:8" x14ac:dyDescent="0.25">
      <c r="E765" s="39"/>
      <c r="F765" s="42"/>
      <c r="G765" s="42"/>
      <c r="H765" s="42"/>
    </row>
    <row r="766" spans="5:8" x14ac:dyDescent="0.25">
      <c r="E766" s="39"/>
      <c r="F766" s="42"/>
      <c r="G766" s="42"/>
      <c r="H766" s="42"/>
    </row>
    <row r="767" spans="5:8" x14ac:dyDescent="0.25">
      <c r="E767" s="39"/>
      <c r="F767" s="42"/>
      <c r="G767" s="42"/>
      <c r="H767" s="42"/>
    </row>
    <row r="768" spans="5:8" x14ac:dyDescent="0.25">
      <c r="E768" s="39"/>
      <c r="F768" s="42"/>
      <c r="G768" s="42"/>
      <c r="H768" s="42"/>
    </row>
    <row r="769" spans="5:8" x14ac:dyDescent="0.25">
      <c r="E769" s="39"/>
      <c r="F769" s="42"/>
      <c r="G769" s="42"/>
      <c r="H769" s="42"/>
    </row>
    <row r="770" spans="5:8" x14ac:dyDescent="0.25">
      <c r="E770" s="39"/>
      <c r="F770" s="42"/>
      <c r="G770" s="42"/>
      <c r="H770" s="42"/>
    </row>
    <row r="771" spans="5:8" x14ac:dyDescent="0.25">
      <c r="E771" s="39"/>
      <c r="F771" s="42"/>
      <c r="G771" s="42"/>
      <c r="H771" s="42"/>
    </row>
    <row r="772" spans="5:8" x14ac:dyDescent="0.25">
      <c r="E772" s="39"/>
      <c r="F772" s="42"/>
      <c r="G772" s="42"/>
      <c r="H772" s="42"/>
    </row>
    <row r="773" spans="5:8" x14ac:dyDescent="0.25">
      <c r="E773" s="39"/>
      <c r="F773" s="42"/>
      <c r="G773" s="42"/>
      <c r="H773" s="42"/>
    </row>
    <row r="774" spans="5:8" x14ac:dyDescent="0.25">
      <c r="E774" s="39"/>
      <c r="F774" s="42"/>
      <c r="G774" s="42"/>
      <c r="H774" s="42"/>
    </row>
    <row r="775" spans="5:8" x14ac:dyDescent="0.25">
      <c r="E775" s="39"/>
      <c r="F775" s="42"/>
      <c r="G775" s="42"/>
      <c r="H775" s="42"/>
    </row>
    <row r="776" spans="5:8" x14ac:dyDescent="0.25">
      <c r="E776" s="39"/>
      <c r="F776" s="42"/>
      <c r="G776" s="42"/>
      <c r="H776" s="42"/>
    </row>
    <row r="777" spans="5:8" x14ac:dyDescent="0.25">
      <c r="E777" s="39"/>
      <c r="F777" s="42"/>
      <c r="G777" s="42"/>
      <c r="H777" s="42"/>
    </row>
    <row r="778" spans="5:8" x14ac:dyDescent="0.25">
      <c r="E778" s="39"/>
      <c r="F778" s="42"/>
      <c r="G778" s="42"/>
      <c r="H778" s="42"/>
    </row>
    <row r="779" spans="5:8" x14ac:dyDescent="0.25">
      <c r="E779" s="39"/>
      <c r="F779" s="42"/>
      <c r="G779" s="42"/>
      <c r="H779" s="42"/>
    </row>
    <row r="780" spans="5:8" x14ac:dyDescent="0.25">
      <c r="E780" s="39"/>
      <c r="F780" s="42"/>
      <c r="G780" s="42"/>
      <c r="H780" s="42"/>
    </row>
    <row r="781" spans="5:8" x14ac:dyDescent="0.25">
      <c r="E781" s="39"/>
      <c r="F781" s="42"/>
      <c r="G781" s="42"/>
      <c r="H781" s="42"/>
    </row>
    <row r="782" spans="5:8" x14ac:dyDescent="0.25">
      <c r="E782" s="39"/>
      <c r="F782" s="42"/>
      <c r="G782" s="42"/>
      <c r="H782" s="42"/>
    </row>
    <row r="783" spans="5:8" x14ac:dyDescent="0.25">
      <c r="E783" s="39"/>
      <c r="F783" s="42"/>
      <c r="G783" s="42"/>
      <c r="H783" s="42"/>
    </row>
    <row r="784" spans="5:8" x14ac:dyDescent="0.25">
      <c r="E784" s="39"/>
      <c r="F784" s="42"/>
      <c r="G784" s="42"/>
      <c r="H784" s="42"/>
    </row>
    <row r="785" spans="5:8" x14ac:dyDescent="0.25">
      <c r="E785" s="39"/>
      <c r="F785" s="42"/>
      <c r="G785" s="42"/>
      <c r="H785" s="42"/>
    </row>
    <row r="786" spans="5:8" x14ac:dyDescent="0.25">
      <c r="E786" s="39"/>
      <c r="F786" s="42"/>
      <c r="G786" s="42"/>
      <c r="H786" s="42"/>
    </row>
    <row r="787" spans="5:8" x14ac:dyDescent="0.25">
      <c r="E787" s="39"/>
      <c r="F787" s="42"/>
      <c r="G787" s="42"/>
      <c r="H787" s="42"/>
    </row>
    <row r="788" spans="5:8" x14ac:dyDescent="0.25">
      <c r="E788" s="39"/>
      <c r="F788" s="42"/>
      <c r="G788" s="42"/>
      <c r="H788" s="42"/>
    </row>
    <row r="789" spans="5:8" x14ac:dyDescent="0.25">
      <c r="E789" s="39"/>
      <c r="F789" s="42"/>
      <c r="G789" s="42"/>
      <c r="H789" s="42"/>
    </row>
    <row r="790" spans="5:8" x14ac:dyDescent="0.25">
      <c r="E790" s="39"/>
      <c r="F790" s="42"/>
      <c r="G790" s="42"/>
      <c r="H790" s="42"/>
    </row>
    <row r="791" spans="5:8" x14ac:dyDescent="0.25">
      <c r="E791" s="39"/>
      <c r="F791" s="42"/>
      <c r="G791" s="42"/>
      <c r="H791" s="42"/>
    </row>
    <row r="792" spans="5:8" x14ac:dyDescent="0.25">
      <c r="E792" s="39"/>
      <c r="F792" s="42"/>
      <c r="G792" s="42"/>
      <c r="H792" s="42"/>
    </row>
    <row r="793" spans="5:8" x14ac:dyDescent="0.25">
      <c r="E793" s="39"/>
      <c r="F793" s="42"/>
      <c r="G793" s="42"/>
      <c r="H793" s="42"/>
    </row>
    <row r="794" spans="5:8" x14ac:dyDescent="0.25">
      <c r="E794" s="39"/>
      <c r="F794" s="42"/>
      <c r="G794" s="42"/>
      <c r="H794" s="42"/>
    </row>
    <row r="795" spans="5:8" x14ac:dyDescent="0.25">
      <c r="E795" s="39"/>
      <c r="F795" s="42"/>
      <c r="G795" s="42"/>
      <c r="H795" s="42"/>
    </row>
    <row r="796" spans="5:8" x14ac:dyDescent="0.25">
      <c r="E796" s="39"/>
      <c r="F796" s="42"/>
      <c r="G796" s="42"/>
      <c r="H796" s="42"/>
    </row>
    <row r="797" spans="5:8" x14ac:dyDescent="0.25">
      <c r="E797" s="39"/>
      <c r="F797" s="42"/>
      <c r="G797" s="42"/>
      <c r="H797" s="42"/>
    </row>
    <row r="798" spans="5:8" x14ac:dyDescent="0.25">
      <c r="E798" s="39"/>
      <c r="F798" s="42"/>
      <c r="G798" s="42"/>
      <c r="H798" s="42"/>
    </row>
    <row r="799" spans="5:8" x14ac:dyDescent="0.25">
      <c r="E799" s="39"/>
      <c r="F799" s="42"/>
      <c r="G799" s="42"/>
      <c r="H799" s="42"/>
    </row>
    <row r="800" spans="5:8" x14ac:dyDescent="0.25">
      <c r="E800" s="39"/>
      <c r="F800" s="42"/>
      <c r="G800" s="42"/>
      <c r="H800" s="42"/>
    </row>
    <row r="801" spans="5:8" x14ac:dyDescent="0.25">
      <c r="E801" s="39"/>
      <c r="F801" s="42"/>
      <c r="G801" s="42"/>
      <c r="H801" s="42"/>
    </row>
    <row r="802" spans="5:8" x14ac:dyDescent="0.25">
      <c r="E802" s="39"/>
      <c r="F802" s="42"/>
      <c r="G802" s="42"/>
      <c r="H802" s="42"/>
    </row>
    <row r="803" spans="5:8" x14ac:dyDescent="0.25">
      <c r="E803" s="39"/>
      <c r="F803" s="42"/>
      <c r="G803" s="42"/>
      <c r="H803" s="42"/>
    </row>
    <row r="804" spans="5:8" x14ac:dyDescent="0.25">
      <c r="E804" s="39"/>
      <c r="F804" s="42"/>
      <c r="G804" s="42"/>
      <c r="H804" s="42"/>
    </row>
    <row r="805" spans="5:8" x14ac:dyDescent="0.25">
      <c r="E805" s="39"/>
      <c r="F805" s="42"/>
      <c r="G805" s="42"/>
      <c r="H805" s="42"/>
    </row>
    <row r="806" spans="5:8" x14ac:dyDescent="0.25">
      <c r="E806" s="39"/>
      <c r="F806" s="42"/>
      <c r="G806" s="42"/>
      <c r="H806" s="42"/>
    </row>
    <row r="807" spans="5:8" x14ac:dyDescent="0.25">
      <c r="E807" s="39"/>
      <c r="F807" s="42"/>
      <c r="G807" s="42"/>
      <c r="H807" s="42"/>
    </row>
    <row r="808" spans="5:8" x14ac:dyDescent="0.25">
      <c r="E808" s="39"/>
      <c r="F808" s="42"/>
      <c r="G808" s="42"/>
      <c r="H808" s="42"/>
    </row>
    <row r="809" spans="5:8" x14ac:dyDescent="0.25">
      <c r="E809" s="39"/>
      <c r="F809" s="42"/>
      <c r="G809" s="42"/>
      <c r="H809" s="42"/>
    </row>
    <row r="810" spans="5:8" x14ac:dyDescent="0.25">
      <c r="E810" s="39"/>
      <c r="F810" s="42"/>
      <c r="G810" s="42"/>
      <c r="H810" s="42"/>
    </row>
    <row r="811" spans="5:8" x14ac:dyDescent="0.25">
      <c r="E811" s="39"/>
      <c r="F811" s="42"/>
      <c r="G811" s="42"/>
      <c r="H811" s="42"/>
    </row>
    <row r="812" spans="5:8" x14ac:dyDescent="0.25">
      <c r="E812" s="39"/>
      <c r="F812" s="42"/>
      <c r="G812" s="42"/>
      <c r="H812" s="42"/>
    </row>
    <row r="813" spans="5:8" x14ac:dyDescent="0.25">
      <c r="E813" s="39"/>
      <c r="F813" s="42"/>
      <c r="G813" s="42"/>
      <c r="H813" s="42"/>
    </row>
    <row r="814" spans="5:8" x14ac:dyDescent="0.25">
      <c r="E814" s="39"/>
      <c r="F814" s="42"/>
      <c r="G814" s="42"/>
      <c r="H814" s="42"/>
    </row>
    <row r="815" spans="5:8" x14ac:dyDescent="0.25">
      <c r="E815" s="39"/>
      <c r="F815" s="42"/>
      <c r="G815" s="42"/>
      <c r="H815" s="42"/>
    </row>
    <row r="816" spans="5:8" x14ac:dyDescent="0.25">
      <c r="E816" s="39"/>
      <c r="F816" s="42"/>
      <c r="G816" s="42"/>
      <c r="H816" s="42"/>
    </row>
    <row r="817" spans="5:8" x14ac:dyDescent="0.25">
      <c r="E817" s="39"/>
      <c r="F817" s="42"/>
      <c r="G817" s="42"/>
      <c r="H817" s="42"/>
    </row>
    <row r="818" spans="5:8" x14ac:dyDescent="0.25">
      <c r="E818" s="39"/>
      <c r="F818" s="42"/>
      <c r="G818" s="42"/>
      <c r="H818" s="42"/>
    </row>
    <row r="819" spans="5:8" x14ac:dyDescent="0.25">
      <c r="E819" s="39"/>
      <c r="F819" s="42"/>
      <c r="G819" s="42"/>
      <c r="H819" s="42"/>
    </row>
    <row r="820" spans="5:8" x14ac:dyDescent="0.25">
      <c r="E820" s="39"/>
      <c r="F820" s="42"/>
      <c r="G820" s="42"/>
      <c r="H820" s="42"/>
    </row>
    <row r="821" spans="5:8" x14ac:dyDescent="0.25">
      <c r="E821" s="39"/>
      <c r="F821" s="42"/>
      <c r="G821" s="42"/>
      <c r="H821" s="42"/>
    </row>
    <row r="822" spans="5:8" x14ac:dyDescent="0.25">
      <c r="E822" s="39"/>
      <c r="F822" s="42"/>
      <c r="G822" s="42"/>
      <c r="H822" s="42"/>
    </row>
    <row r="823" spans="5:8" x14ac:dyDescent="0.25">
      <c r="E823" s="39"/>
      <c r="F823" s="42"/>
      <c r="G823" s="42"/>
      <c r="H823" s="42"/>
    </row>
    <row r="824" spans="5:8" x14ac:dyDescent="0.25">
      <c r="E824" s="39"/>
      <c r="F824" s="42"/>
      <c r="G824" s="42"/>
      <c r="H824" s="42"/>
    </row>
    <row r="825" spans="5:8" x14ac:dyDescent="0.25">
      <c r="E825" s="39"/>
      <c r="F825" s="42"/>
      <c r="G825" s="42"/>
      <c r="H825" s="42"/>
    </row>
    <row r="826" spans="5:8" x14ac:dyDescent="0.25">
      <c r="E826" s="39"/>
      <c r="F826" s="42"/>
      <c r="G826" s="42"/>
      <c r="H826" s="42"/>
    </row>
    <row r="827" spans="5:8" x14ac:dyDescent="0.25">
      <c r="E827" s="39"/>
      <c r="F827" s="42"/>
      <c r="G827" s="42"/>
      <c r="H827" s="42"/>
    </row>
    <row r="828" spans="5:8" x14ac:dyDescent="0.25">
      <c r="E828" s="39"/>
      <c r="F828" s="42"/>
      <c r="G828" s="42"/>
      <c r="H828" s="42"/>
    </row>
    <row r="829" spans="5:8" x14ac:dyDescent="0.25">
      <c r="E829" s="39"/>
      <c r="F829" s="42"/>
      <c r="G829" s="42"/>
      <c r="H829" s="42"/>
    </row>
    <row r="830" spans="5:8" x14ac:dyDescent="0.25">
      <c r="E830" s="39"/>
      <c r="F830" s="42"/>
      <c r="G830" s="42"/>
      <c r="H830" s="42"/>
    </row>
    <row r="831" spans="5:8" x14ac:dyDescent="0.25">
      <c r="E831" s="39"/>
      <c r="F831" s="42"/>
      <c r="G831" s="42"/>
      <c r="H831" s="42"/>
    </row>
    <row r="832" spans="5:8" x14ac:dyDescent="0.25">
      <c r="E832" s="39"/>
      <c r="F832" s="42"/>
      <c r="G832" s="42"/>
      <c r="H832" s="42"/>
    </row>
    <row r="833" spans="5:8" x14ac:dyDescent="0.25">
      <c r="E833" s="39"/>
      <c r="F833" s="42"/>
      <c r="G833" s="42"/>
      <c r="H833" s="42"/>
    </row>
    <row r="834" spans="5:8" x14ac:dyDescent="0.25">
      <c r="E834" s="39"/>
      <c r="F834" s="42"/>
      <c r="G834" s="42"/>
      <c r="H834" s="42"/>
    </row>
    <row r="835" spans="5:8" x14ac:dyDescent="0.25">
      <c r="E835" s="39"/>
      <c r="F835" s="42"/>
      <c r="G835" s="42"/>
      <c r="H835" s="42"/>
    </row>
    <row r="836" spans="5:8" x14ac:dyDescent="0.25">
      <c r="E836" s="39"/>
      <c r="F836" s="42"/>
      <c r="G836" s="42"/>
      <c r="H836" s="42"/>
    </row>
    <row r="837" spans="5:8" x14ac:dyDescent="0.25">
      <c r="E837" s="39"/>
      <c r="F837" s="42"/>
      <c r="G837" s="42"/>
      <c r="H837" s="42"/>
    </row>
    <row r="838" spans="5:8" x14ac:dyDescent="0.25">
      <c r="E838" s="39"/>
      <c r="F838" s="42"/>
      <c r="G838" s="42"/>
      <c r="H838" s="42"/>
    </row>
    <row r="839" spans="5:8" x14ac:dyDescent="0.25">
      <c r="E839" s="39"/>
      <c r="F839" s="42"/>
      <c r="G839" s="42"/>
      <c r="H839" s="42"/>
    </row>
    <row r="840" spans="5:8" x14ac:dyDescent="0.25">
      <c r="E840" s="39"/>
      <c r="F840" s="42"/>
      <c r="G840" s="42"/>
      <c r="H840" s="42"/>
    </row>
    <row r="841" spans="5:8" x14ac:dyDescent="0.25">
      <c r="E841" s="39"/>
      <c r="F841" s="42"/>
      <c r="G841" s="42"/>
      <c r="H841" s="42"/>
    </row>
    <row r="842" spans="5:8" x14ac:dyDescent="0.25">
      <c r="E842" s="39"/>
      <c r="F842" s="42"/>
      <c r="G842" s="42"/>
      <c r="H842" s="42"/>
    </row>
    <row r="843" spans="5:8" x14ac:dyDescent="0.25">
      <c r="E843" s="39"/>
      <c r="F843" s="42"/>
      <c r="G843" s="42"/>
      <c r="H843" s="42"/>
    </row>
    <row r="844" spans="5:8" x14ac:dyDescent="0.25">
      <c r="E844" s="39"/>
      <c r="F844" s="42"/>
      <c r="G844" s="42"/>
      <c r="H844" s="42"/>
    </row>
    <row r="845" spans="5:8" x14ac:dyDescent="0.25">
      <c r="E845" s="39"/>
      <c r="F845" s="42"/>
      <c r="G845" s="42"/>
      <c r="H845" s="42"/>
    </row>
    <row r="846" spans="5:8" x14ac:dyDescent="0.25">
      <c r="E846" s="39"/>
      <c r="F846" s="42"/>
      <c r="G846" s="42"/>
      <c r="H846" s="42"/>
    </row>
    <row r="847" spans="5:8" x14ac:dyDescent="0.25">
      <c r="E847" s="39"/>
      <c r="F847" s="42"/>
      <c r="G847" s="42"/>
      <c r="H847" s="42"/>
    </row>
    <row r="848" spans="5:8" x14ac:dyDescent="0.25">
      <c r="E848" s="39"/>
      <c r="F848" s="42"/>
      <c r="G848" s="42"/>
      <c r="H848" s="42"/>
    </row>
    <row r="849" spans="5:8" x14ac:dyDescent="0.25">
      <c r="E849" s="39"/>
      <c r="F849" s="42"/>
      <c r="G849" s="42"/>
      <c r="H849" s="42"/>
    </row>
    <row r="850" spans="5:8" x14ac:dyDescent="0.25">
      <c r="E850" s="39"/>
      <c r="F850" s="42"/>
      <c r="G850" s="42"/>
      <c r="H850" s="42"/>
    </row>
    <row r="851" spans="5:8" x14ac:dyDescent="0.25">
      <c r="E851" s="39"/>
      <c r="F851" s="42"/>
      <c r="G851" s="42"/>
      <c r="H851" s="42"/>
    </row>
    <row r="852" spans="5:8" x14ac:dyDescent="0.25">
      <c r="E852" s="39"/>
      <c r="F852" s="42"/>
      <c r="G852" s="42"/>
      <c r="H852" s="42"/>
    </row>
    <row r="853" spans="5:8" x14ac:dyDescent="0.25">
      <c r="E853" s="39"/>
      <c r="F853" s="42"/>
      <c r="G853" s="42"/>
      <c r="H853" s="42"/>
    </row>
    <row r="854" spans="5:8" x14ac:dyDescent="0.25">
      <c r="E854" s="39"/>
      <c r="F854" s="42"/>
      <c r="G854" s="42"/>
      <c r="H854" s="42"/>
    </row>
    <row r="855" spans="5:8" x14ac:dyDescent="0.25">
      <c r="E855" s="39"/>
      <c r="F855" s="42"/>
      <c r="G855" s="42"/>
      <c r="H855" s="42"/>
    </row>
    <row r="856" spans="5:8" x14ac:dyDescent="0.25">
      <c r="E856" s="39"/>
      <c r="F856" s="42"/>
      <c r="G856" s="42"/>
      <c r="H856" s="42"/>
    </row>
    <row r="857" spans="5:8" x14ac:dyDescent="0.25">
      <c r="E857" s="39"/>
      <c r="F857" s="42"/>
      <c r="G857" s="42"/>
      <c r="H857" s="42"/>
    </row>
    <row r="858" spans="5:8" x14ac:dyDescent="0.25">
      <c r="E858" s="39"/>
      <c r="F858" s="42"/>
      <c r="G858" s="42"/>
      <c r="H858" s="42"/>
    </row>
    <row r="859" spans="5:8" x14ac:dyDescent="0.25">
      <c r="E859" s="39"/>
      <c r="F859" s="42"/>
      <c r="G859" s="42"/>
      <c r="H859" s="42"/>
    </row>
    <row r="860" spans="5:8" x14ac:dyDescent="0.25">
      <c r="E860" s="39"/>
      <c r="F860" s="42"/>
      <c r="G860" s="42"/>
      <c r="H860" s="42"/>
    </row>
    <row r="861" spans="5:8" x14ac:dyDescent="0.25">
      <c r="E861" s="39"/>
      <c r="F861" s="42"/>
      <c r="G861" s="42"/>
      <c r="H861" s="42"/>
    </row>
    <row r="862" spans="5:8" x14ac:dyDescent="0.25">
      <c r="E862" s="39"/>
      <c r="F862" s="42"/>
      <c r="G862" s="42"/>
      <c r="H862" s="42"/>
    </row>
    <row r="863" spans="5:8" x14ac:dyDescent="0.25">
      <c r="E863" s="39"/>
      <c r="F863" s="42"/>
      <c r="G863" s="42"/>
      <c r="H863" s="42"/>
    </row>
    <row r="864" spans="5:8" x14ac:dyDescent="0.25">
      <c r="E864" s="39"/>
      <c r="F864" s="42"/>
      <c r="G864" s="42"/>
      <c r="H864" s="42"/>
    </row>
    <row r="865" spans="5:8" x14ac:dyDescent="0.25">
      <c r="E865" s="39"/>
      <c r="F865" s="42"/>
      <c r="G865" s="42"/>
      <c r="H865" s="42"/>
    </row>
    <row r="866" spans="5:8" x14ac:dyDescent="0.25">
      <c r="E866" s="39"/>
      <c r="F866" s="42"/>
      <c r="G866" s="42"/>
      <c r="H866" s="42"/>
    </row>
    <row r="867" spans="5:8" x14ac:dyDescent="0.25">
      <c r="E867" s="39"/>
      <c r="F867" s="42"/>
      <c r="G867" s="42"/>
      <c r="H867" s="42"/>
    </row>
    <row r="868" spans="5:8" x14ac:dyDescent="0.25">
      <c r="E868" s="39"/>
      <c r="F868" s="42"/>
      <c r="G868" s="42"/>
      <c r="H868" s="42"/>
    </row>
    <row r="869" spans="5:8" x14ac:dyDescent="0.25">
      <c r="E869" s="39"/>
      <c r="F869" s="42"/>
      <c r="G869" s="42"/>
      <c r="H869" s="42"/>
    </row>
    <row r="870" spans="5:8" x14ac:dyDescent="0.25">
      <c r="E870" s="39"/>
      <c r="F870" s="42"/>
      <c r="G870" s="42"/>
      <c r="H870" s="42"/>
    </row>
    <row r="871" spans="5:8" x14ac:dyDescent="0.25">
      <c r="E871" s="39"/>
      <c r="F871" s="42"/>
      <c r="G871" s="42"/>
      <c r="H871" s="42"/>
    </row>
    <row r="872" spans="5:8" x14ac:dyDescent="0.25">
      <c r="E872" s="39"/>
      <c r="F872" s="42"/>
      <c r="G872" s="42"/>
      <c r="H872" s="42"/>
    </row>
    <row r="873" spans="5:8" x14ac:dyDescent="0.25">
      <c r="E873" s="39"/>
      <c r="F873" s="42"/>
      <c r="G873" s="42"/>
      <c r="H873" s="42"/>
    </row>
    <row r="874" spans="5:8" x14ac:dyDescent="0.25">
      <c r="E874" s="39"/>
      <c r="F874" s="42"/>
      <c r="G874" s="42"/>
      <c r="H874" s="42"/>
    </row>
    <row r="875" spans="5:8" x14ac:dyDescent="0.25">
      <c r="E875" s="39"/>
      <c r="F875" s="42"/>
      <c r="G875" s="42"/>
      <c r="H875" s="42"/>
    </row>
    <row r="876" spans="5:8" x14ac:dyDescent="0.25">
      <c r="E876" s="39"/>
      <c r="F876" s="42"/>
      <c r="G876" s="42"/>
      <c r="H876" s="42"/>
    </row>
    <row r="877" spans="5:8" x14ac:dyDescent="0.25">
      <c r="E877" s="39"/>
      <c r="F877" s="42"/>
      <c r="G877" s="42"/>
      <c r="H877" s="42"/>
    </row>
    <row r="878" spans="5:8" x14ac:dyDescent="0.25">
      <c r="E878" s="39"/>
      <c r="F878" s="42"/>
      <c r="G878" s="42"/>
      <c r="H878" s="42"/>
    </row>
    <row r="879" spans="5:8" x14ac:dyDescent="0.25">
      <c r="E879" s="39"/>
      <c r="F879" s="42"/>
      <c r="G879" s="42"/>
      <c r="H879" s="42"/>
    </row>
    <row r="880" spans="5:8" x14ac:dyDescent="0.25">
      <c r="E880" s="39"/>
      <c r="F880" s="42"/>
      <c r="G880" s="42"/>
      <c r="H880" s="42"/>
    </row>
    <row r="881" spans="5:8" x14ac:dyDescent="0.25">
      <c r="E881" s="39"/>
      <c r="F881" s="42"/>
      <c r="G881" s="42"/>
      <c r="H881" s="42"/>
    </row>
    <row r="882" spans="5:8" x14ac:dyDescent="0.25">
      <c r="E882" s="39"/>
      <c r="F882" s="42"/>
      <c r="G882" s="42"/>
      <c r="H882" s="42"/>
    </row>
    <row r="883" spans="5:8" x14ac:dyDescent="0.25">
      <c r="E883" s="39"/>
      <c r="F883" s="42"/>
      <c r="G883" s="42"/>
      <c r="H883" s="42"/>
    </row>
    <row r="884" spans="5:8" x14ac:dyDescent="0.25">
      <c r="E884" s="39"/>
      <c r="F884" s="42"/>
      <c r="G884" s="42"/>
      <c r="H884" s="42"/>
    </row>
    <row r="885" spans="5:8" x14ac:dyDescent="0.25">
      <c r="E885" s="39"/>
      <c r="F885" s="42"/>
      <c r="G885" s="42"/>
      <c r="H885" s="42"/>
    </row>
    <row r="886" spans="5:8" x14ac:dyDescent="0.25">
      <c r="E886" s="39"/>
      <c r="F886" s="42"/>
      <c r="G886" s="42"/>
      <c r="H886" s="42"/>
    </row>
    <row r="887" spans="5:8" x14ac:dyDescent="0.25">
      <c r="E887" s="39"/>
      <c r="F887" s="42"/>
      <c r="G887" s="42"/>
      <c r="H887" s="42"/>
    </row>
    <row r="888" spans="5:8" x14ac:dyDescent="0.25">
      <c r="E888" s="39"/>
      <c r="F888" s="42"/>
      <c r="G888" s="42"/>
      <c r="H888" s="42"/>
    </row>
    <row r="889" spans="5:8" x14ac:dyDescent="0.25">
      <c r="E889" s="39"/>
      <c r="F889" s="42"/>
      <c r="G889" s="42"/>
      <c r="H889" s="42"/>
    </row>
    <row r="890" spans="5:8" x14ac:dyDescent="0.25">
      <c r="E890" s="39"/>
      <c r="F890" s="42"/>
      <c r="G890" s="42"/>
      <c r="H890" s="42"/>
    </row>
    <row r="891" spans="5:8" x14ac:dyDescent="0.25">
      <c r="E891" s="39"/>
      <c r="F891" s="42"/>
      <c r="G891" s="42"/>
      <c r="H891" s="42"/>
    </row>
    <row r="892" spans="5:8" x14ac:dyDescent="0.25">
      <c r="E892" s="39"/>
      <c r="F892" s="42"/>
      <c r="G892" s="42"/>
      <c r="H892" s="42"/>
    </row>
    <row r="893" spans="5:8" x14ac:dyDescent="0.25">
      <c r="E893" s="39"/>
      <c r="F893" s="42"/>
      <c r="G893" s="42"/>
      <c r="H893" s="42"/>
    </row>
    <row r="894" spans="5:8" x14ac:dyDescent="0.25">
      <c r="E894" s="39"/>
      <c r="F894" s="42"/>
      <c r="G894" s="42"/>
      <c r="H894" s="42"/>
    </row>
    <row r="895" spans="5:8" x14ac:dyDescent="0.25">
      <c r="E895" s="39"/>
      <c r="F895" s="42"/>
      <c r="G895" s="42"/>
      <c r="H895" s="42"/>
    </row>
    <row r="896" spans="5:8" x14ac:dyDescent="0.25">
      <c r="E896" s="39"/>
      <c r="F896" s="42"/>
      <c r="G896" s="42"/>
      <c r="H896" s="42"/>
    </row>
    <row r="897" spans="5:8" x14ac:dyDescent="0.25">
      <c r="E897" s="39"/>
      <c r="F897" s="42"/>
      <c r="G897" s="42"/>
      <c r="H897" s="42"/>
    </row>
    <row r="898" spans="5:8" x14ac:dyDescent="0.25">
      <c r="E898" s="39"/>
      <c r="F898" s="42"/>
      <c r="G898" s="42"/>
      <c r="H898" s="42"/>
    </row>
    <row r="899" spans="5:8" x14ac:dyDescent="0.25">
      <c r="E899" s="39"/>
      <c r="F899" s="42"/>
      <c r="G899" s="42"/>
      <c r="H899" s="42"/>
    </row>
    <row r="900" spans="5:8" x14ac:dyDescent="0.25">
      <c r="E900" s="39"/>
      <c r="F900" s="42"/>
      <c r="G900" s="42"/>
      <c r="H900" s="42"/>
    </row>
    <row r="901" spans="5:8" x14ac:dyDescent="0.25">
      <c r="E901" s="39"/>
      <c r="F901" s="42"/>
      <c r="G901" s="42"/>
      <c r="H901" s="42"/>
    </row>
    <row r="902" spans="5:8" x14ac:dyDescent="0.25">
      <c r="E902" s="39"/>
      <c r="F902" s="42"/>
      <c r="G902" s="42"/>
      <c r="H902" s="42"/>
    </row>
    <row r="903" spans="5:8" x14ac:dyDescent="0.25">
      <c r="E903" s="39"/>
      <c r="F903" s="42"/>
      <c r="G903" s="42"/>
      <c r="H903" s="42"/>
    </row>
    <row r="904" spans="5:8" x14ac:dyDescent="0.25">
      <c r="E904" s="39"/>
      <c r="F904" s="42"/>
      <c r="G904" s="42"/>
      <c r="H904" s="42"/>
    </row>
    <row r="905" spans="5:8" x14ac:dyDescent="0.25">
      <c r="E905" s="39"/>
      <c r="F905" s="42"/>
      <c r="G905" s="42"/>
      <c r="H905" s="42"/>
    </row>
    <row r="906" spans="5:8" x14ac:dyDescent="0.25">
      <c r="E906" s="39"/>
      <c r="F906" s="42"/>
      <c r="G906" s="42"/>
      <c r="H906" s="42"/>
    </row>
    <row r="907" spans="5:8" x14ac:dyDescent="0.25">
      <c r="E907" s="39"/>
      <c r="F907" s="42"/>
      <c r="G907" s="42"/>
      <c r="H907" s="42"/>
    </row>
    <row r="908" spans="5:8" x14ac:dyDescent="0.25">
      <c r="E908" s="39"/>
      <c r="F908" s="42"/>
      <c r="G908" s="42"/>
      <c r="H908" s="42"/>
    </row>
    <row r="909" spans="5:8" x14ac:dyDescent="0.25">
      <c r="E909" s="39"/>
      <c r="F909" s="42"/>
      <c r="G909" s="42"/>
      <c r="H909" s="42"/>
    </row>
    <row r="910" spans="5:8" x14ac:dyDescent="0.25">
      <c r="E910" s="39"/>
      <c r="F910" s="42"/>
      <c r="G910" s="42"/>
      <c r="H910" s="42"/>
    </row>
    <row r="911" spans="5:8" x14ac:dyDescent="0.25">
      <c r="E911" s="39"/>
      <c r="F911" s="42"/>
      <c r="G911" s="42"/>
      <c r="H911" s="42"/>
    </row>
    <row r="912" spans="5:8" x14ac:dyDescent="0.25">
      <c r="E912" s="39"/>
      <c r="F912" s="42"/>
      <c r="G912" s="42"/>
      <c r="H912" s="42"/>
    </row>
    <row r="913" spans="5:8" x14ac:dyDescent="0.25">
      <c r="E913" s="39"/>
      <c r="F913" s="42"/>
      <c r="G913" s="42"/>
      <c r="H913" s="42"/>
    </row>
    <row r="914" spans="5:8" x14ac:dyDescent="0.25">
      <c r="E914" s="39"/>
      <c r="F914" s="42"/>
      <c r="G914" s="42"/>
      <c r="H914" s="42"/>
    </row>
    <row r="915" spans="5:8" x14ac:dyDescent="0.25">
      <c r="E915" s="39"/>
      <c r="F915" s="42"/>
      <c r="G915" s="42"/>
      <c r="H915" s="42"/>
    </row>
    <row r="916" spans="5:8" x14ac:dyDescent="0.25">
      <c r="E916" s="39"/>
      <c r="F916" s="42"/>
      <c r="G916" s="42"/>
      <c r="H916" s="42"/>
    </row>
    <row r="917" spans="5:8" x14ac:dyDescent="0.25">
      <c r="E917" s="39"/>
      <c r="F917" s="42"/>
      <c r="G917" s="42"/>
      <c r="H917" s="42"/>
    </row>
    <row r="918" spans="5:8" x14ac:dyDescent="0.25">
      <c r="E918" s="39"/>
      <c r="F918" s="42"/>
      <c r="G918" s="42"/>
      <c r="H918" s="42"/>
    </row>
    <row r="919" spans="5:8" x14ac:dyDescent="0.25">
      <c r="E919" s="39"/>
      <c r="F919" s="42"/>
      <c r="G919" s="42"/>
      <c r="H919" s="42"/>
    </row>
    <row r="920" spans="5:8" x14ac:dyDescent="0.25">
      <c r="E920" s="39"/>
      <c r="F920" s="42"/>
      <c r="G920" s="42"/>
      <c r="H920" s="42"/>
    </row>
    <row r="921" spans="5:8" x14ac:dyDescent="0.25">
      <c r="E921" s="39"/>
      <c r="F921" s="42"/>
      <c r="G921" s="42"/>
      <c r="H921" s="42"/>
    </row>
    <row r="922" spans="5:8" x14ac:dyDescent="0.25">
      <c r="E922" s="39"/>
      <c r="F922" s="42"/>
      <c r="G922" s="42"/>
      <c r="H922" s="42"/>
    </row>
    <row r="923" spans="5:8" x14ac:dyDescent="0.25">
      <c r="E923" s="39"/>
      <c r="F923" s="42"/>
      <c r="G923" s="42"/>
      <c r="H923" s="42"/>
    </row>
    <row r="924" spans="5:8" x14ac:dyDescent="0.25">
      <c r="E924" s="39"/>
      <c r="F924" s="42"/>
      <c r="G924" s="42"/>
      <c r="H924" s="42"/>
    </row>
    <row r="925" spans="5:8" x14ac:dyDescent="0.25">
      <c r="E925" s="39"/>
      <c r="F925" s="42"/>
      <c r="G925" s="42"/>
      <c r="H925" s="42"/>
    </row>
    <row r="926" spans="5:8" x14ac:dyDescent="0.25">
      <c r="E926" s="39"/>
      <c r="F926" s="42"/>
      <c r="G926" s="42"/>
      <c r="H926" s="42"/>
    </row>
    <row r="927" spans="5:8" x14ac:dyDescent="0.25">
      <c r="E927" s="39"/>
      <c r="F927" s="42"/>
      <c r="G927" s="42"/>
      <c r="H927" s="42"/>
    </row>
    <row r="928" spans="5:8" x14ac:dyDescent="0.25">
      <c r="E928" s="39"/>
      <c r="F928" s="42"/>
      <c r="G928" s="42"/>
      <c r="H928" s="42"/>
    </row>
    <row r="929" spans="5:8" x14ac:dyDescent="0.25">
      <c r="E929" s="39"/>
      <c r="F929" s="42"/>
      <c r="G929" s="42"/>
      <c r="H929" s="42"/>
    </row>
    <row r="930" spans="5:8" x14ac:dyDescent="0.25">
      <c r="E930" s="39"/>
      <c r="F930" s="42"/>
      <c r="G930" s="42"/>
      <c r="H930" s="42"/>
    </row>
    <row r="931" spans="5:8" x14ac:dyDescent="0.25">
      <c r="E931" s="39"/>
      <c r="F931" s="42"/>
      <c r="G931" s="42"/>
      <c r="H931" s="42"/>
    </row>
    <row r="932" spans="5:8" x14ac:dyDescent="0.25">
      <c r="E932" s="39"/>
      <c r="F932" s="42"/>
      <c r="G932" s="42"/>
      <c r="H932" s="42"/>
    </row>
    <row r="933" spans="5:8" x14ac:dyDescent="0.25">
      <c r="E933" s="39"/>
      <c r="F933" s="42"/>
      <c r="G933" s="42"/>
      <c r="H933" s="42"/>
    </row>
    <row r="934" spans="5:8" x14ac:dyDescent="0.25">
      <c r="E934" s="39"/>
      <c r="F934" s="42"/>
      <c r="G934" s="42"/>
      <c r="H934" s="42"/>
    </row>
    <row r="935" spans="5:8" x14ac:dyDescent="0.25">
      <c r="E935" s="39"/>
      <c r="F935" s="42"/>
      <c r="G935" s="42"/>
      <c r="H935" s="42"/>
    </row>
    <row r="936" spans="5:8" x14ac:dyDescent="0.25">
      <c r="E936" s="39"/>
      <c r="F936" s="42"/>
      <c r="G936" s="42"/>
      <c r="H936" s="42"/>
    </row>
    <row r="937" spans="5:8" x14ac:dyDescent="0.25">
      <c r="E937" s="39"/>
      <c r="F937" s="42"/>
      <c r="G937" s="42"/>
      <c r="H937" s="42"/>
    </row>
    <row r="938" spans="5:8" x14ac:dyDescent="0.25">
      <c r="E938" s="39"/>
      <c r="F938" s="42"/>
      <c r="G938" s="42"/>
      <c r="H938" s="42"/>
    </row>
    <row r="939" spans="5:8" x14ac:dyDescent="0.25">
      <c r="E939" s="39"/>
      <c r="F939" s="42"/>
      <c r="G939" s="42"/>
      <c r="H939" s="42"/>
    </row>
    <row r="940" spans="5:8" x14ac:dyDescent="0.25">
      <c r="E940" s="39"/>
      <c r="F940" s="42"/>
      <c r="G940" s="42"/>
      <c r="H940" s="42"/>
    </row>
    <row r="941" spans="5:8" x14ac:dyDescent="0.25">
      <c r="E941" s="39"/>
      <c r="F941" s="42"/>
      <c r="G941" s="42"/>
      <c r="H941" s="42"/>
    </row>
    <row r="942" spans="5:8" x14ac:dyDescent="0.25">
      <c r="E942" s="39"/>
      <c r="F942" s="42"/>
      <c r="G942" s="42"/>
      <c r="H942" s="42"/>
    </row>
    <row r="943" spans="5:8" x14ac:dyDescent="0.25">
      <c r="E943" s="39"/>
      <c r="F943" s="42"/>
      <c r="G943" s="42"/>
      <c r="H943" s="42"/>
    </row>
    <row r="944" spans="5:8" x14ac:dyDescent="0.25">
      <c r="E944" s="39"/>
      <c r="F944" s="42"/>
      <c r="G944" s="42"/>
      <c r="H944" s="42"/>
    </row>
    <row r="945" spans="5:8" x14ac:dyDescent="0.25">
      <c r="E945" s="39"/>
      <c r="F945" s="42"/>
      <c r="G945" s="42"/>
      <c r="H945" s="42"/>
    </row>
    <row r="946" spans="5:8" x14ac:dyDescent="0.25">
      <c r="E946" s="39"/>
      <c r="F946" s="42"/>
      <c r="G946" s="42"/>
      <c r="H946" s="42"/>
    </row>
    <row r="947" spans="5:8" x14ac:dyDescent="0.25">
      <c r="E947" s="39"/>
      <c r="F947" s="42"/>
      <c r="G947" s="42"/>
      <c r="H947" s="42"/>
    </row>
    <row r="948" spans="5:8" x14ac:dyDescent="0.25">
      <c r="E948" s="39"/>
      <c r="F948" s="42"/>
      <c r="G948" s="42"/>
      <c r="H948" s="42"/>
    </row>
    <row r="949" spans="5:8" x14ac:dyDescent="0.25">
      <c r="E949" s="39"/>
      <c r="F949" s="42"/>
      <c r="G949" s="42"/>
      <c r="H949" s="42"/>
    </row>
    <row r="950" spans="5:8" x14ac:dyDescent="0.25">
      <c r="E950" s="39"/>
      <c r="F950" s="42"/>
      <c r="G950" s="42"/>
      <c r="H950" s="42"/>
    </row>
    <row r="951" spans="5:8" x14ac:dyDescent="0.25">
      <c r="E951" s="39"/>
      <c r="F951" s="42"/>
      <c r="G951" s="42"/>
      <c r="H951" s="42"/>
    </row>
    <row r="952" spans="5:8" x14ac:dyDescent="0.25">
      <c r="E952" s="39"/>
      <c r="F952" s="42"/>
      <c r="G952" s="42"/>
      <c r="H952" s="42"/>
    </row>
    <row r="953" spans="5:8" x14ac:dyDescent="0.25">
      <c r="E953" s="39"/>
      <c r="F953" s="42"/>
      <c r="G953" s="42"/>
      <c r="H953" s="42"/>
    </row>
    <row r="954" spans="5:8" x14ac:dyDescent="0.25">
      <c r="E954" s="39"/>
      <c r="F954" s="42"/>
      <c r="G954" s="42"/>
      <c r="H954" s="42"/>
    </row>
    <row r="955" spans="5:8" x14ac:dyDescent="0.25">
      <c r="E955" s="39"/>
      <c r="F955" s="42"/>
      <c r="G955" s="42"/>
      <c r="H955" s="42"/>
    </row>
    <row r="956" spans="5:8" x14ac:dyDescent="0.25">
      <c r="E956" s="39"/>
      <c r="F956" s="42"/>
      <c r="G956" s="42"/>
      <c r="H956" s="42"/>
    </row>
    <row r="957" spans="5:8" x14ac:dyDescent="0.25">
      <c r="E957" s="39"/>
      <c r="F957" s="42"/>
      <c r="G957" s="42"/>
      <c r="H957" s="42"/>
    </row>
    <row r="958" spans="5:8" x14ac:dyDescent="0.25">
      <c r="E958" s="39"/>
      <c r="F958" s="42"/>
      <c r="G958" s="42"/>
      <c r="H958" s="42"/>
    </row>
    <row r="959" spans="5:8" x14ac:dyDescent="0.25">
      <c r="E959" s="39"/>
      <c r="F959" s="42"/>
      <c r="G959" s="42"/>
      <c r="H959" s="42"/>
    </row>
    <row r="960" spans="5:8" x14ac:dyDescent="0.25">
      <c r="E960" s="39"/>
      <c r="F960" s="42"/>
      <c r="G960" s="42"/>
      <c r="H960" s="42"/>
    </row>
    <row r="961" spans="5:8" x14ac:dyDescent="0.25">
      <c r="E961" s="39"/>
      <c r="F961" s="42"/>
      <c r="G961" s="42"/>
      <c r="H961" s="42"/>
    </row>
    <row r="962" spans="5:8" x14ac:dyDescent="0.25">
      <c r="E962" s="39"/>
      <c r="F962" s="42"/>
      <c r="G962" s="42"/>
      <c r="H962" s="42"/>
    </row>
    <row r="963" spans="5:8" x14ac:dyDescent="0.25">
      <c r="E963" s="39"/>
      <c r="F963" s="42"/>
      <c r="G963" s="42"/>
      <c r="H963" s="42"/>
    </row>
    <row r="964" spans="5:8" x14ac:dyDescent="0.25">
      <c r="E964" s="39"/>
      <c r="F964" s="42"/>
      <c r="G964" s="42"/>
      <c r="H964" s="42"/>
    </row>
    <row r="965" spans="5:8" x14ac:dyDescent="0.25">
      <c r="E965" s="39"/>
      <c r="F965" s="42"/>
      <c r="G965" s="42"/>
      <c r="H965" s="42"/>
    </row>
    <row r="966" spans="5:8" x14ac:dyDescent="0.25">
      <c r="E966" s="39"/>
      <c r="F966" s="42"/>
      <c r="G966" s="42"/>
      <c r="H966" s="42"/>
    </row>
    <row r="967" spans="5:8" x14ac:dyDescent="0.25">
      <c r="E967" s="39"/>
      <c r="F967" s="42"/>
      <c r="G967" s="42"/>
      <c r="H967" s="42"/>
    </row>
    <row r="968" spans="5:8" x14ac:dyDescent="0.25">
      <c r="E968" s="39"/>
      <c r="F968" s="42"/>
      <c r="G968" s="42"/>
      <c r="H968" s="42"/>
    </row>
    <row r="969" spans="5:8" x14ac:dyDescent="0.25">
      <c r="E969" s="39"/>
      <c r="F969" s="42"/>
      <c r="G969" s="42"/>
      <c r="H969" s="42"/>
    </row>
    <row r="970" spans="5:8" x14ac:dyDescent="0.25">
      <c r="E970" s="39"/>
      <c r="F970" s="42"/>
      <c r="G970" s="42"/>
      <c r="H970" s="42"/>
    </row>
    <row r="971" spans="5:8" x14ac:dyDescent="0.25">
      <c r="E971" s="39"/>
      <c r="F971" s="42"/>
      <c r="G971" s="42"/>
      <c r="H971" s="42"/>
    </row>
    <row r="972" spans="5:8" x14ac:dyDescent="0.25">
      <c r="E972" s="39"/>
      <c r="F972" s="42"/>
      <c r="G972" s="42"/>
      <c r="H972" s="42"/>
    </row>
    <row r="973" spans="5:8" x14ac:dyDescent="0.25">
      <c r="E973" s="39"/>
      <c r="F973" s="42"/>
      <c r="G973" s="42"/>
      <c r="H973" s="42"/>
    </row>
    <row r="974" spans="5:8" x14ac:dyDescent="0.25">
      <c r="E974" s="39"/>
      <c r="F974" s="42"/>
      <c r="G974" s="42"/>
      <c r="H974" s="42"/>
    </row>
    <row r="975" spans="5:8" x14ac:dyDescent="0.25">
      <c r="E975" s="39"/>
      <c r="F975" s="42"/>
      <c r="G975" s="42"/>
      <c r="H975" s="42"/>
    </row>
    <row r="976" spans="5:8" x14ac:dyDescent="0.25">
      <c r="E976" s="39"/>
      <c r="F976" s="42"/>
      <c r="G976" s="42"/>
      <c r="H976" s="42"/>
    </row>
    <row r="977" spans="5:8" x14ac:dyDescent="0.25">
      <c r="E977" s="39"/>
      <c r="F977" s="42"/>
      <c r="G977" s="42"/>
      <c r="H977" s="42"/>
    </row>
    <row r="978" spans="5:8" x14ac:dyDescent="0.25">
      <c r="E978" s="39"/>
      <c r="F978" s="42"/>
      <c r="G978" s="42"/>
      <c r="H978" s="42"/>
    </row>
    <row r="979" spans="5:8" x14ac:dyDescent="0.25">
      <c r="E979" s="39"/>
      <c r="F979" s="42"/>
      <c r="G979" s="42"/>
      <c r="H979" s="42"/>
    </row>
    <row r="980" spans="5:8" x14ac:dyDescent="0.25">
      <c r="E980" s="39"/>
      <c r="F980" s="42"/>
      <c r="G980" s="42"/>
      <c r="H980" s="42"/>
    </row>
    <row r="981" spans="5:8" x14ac:dyDescent="0.25">
      <c r="E981" s="39"/>
      <c r="F981" s="42"/>
      <c r="G981" s="42"/>
      <c r="H981" s="42"/>
    </row>
    <row r="982" spans="5:8" x14ac:dyDescent="0.25">
      <c r="E982" s="39"/>
      <c r="F982" s="42"/>
      <c r="G982" s="42"/>
      <c r="H982" s="42"/>
    </row>
    <row r="983" spans="5:8" x14ac:dyDescent="0.25">
      <c r="E983" s="39"/>
      <c r="F983" s="42"/>
      <c r="G983" s="42"/>
      <c r="H983" s="42"/>
    </row>
    <row r="984" spans="5:8" x14ac:dyDescent="0.25">
      <c r="E984" s="39"/>
      <c r="F984" s="42"/>
      <c r="G984" s="42"/>
      <c r="H984" s="42"/>
    </row>
    <row r="985" spans="5:8" x14ac:dyDescent="0.25">
      <c r="E985" s="39"/>
      <c r="F985" s="42"/>
      <c r="G985" s="42"/>
      <c r="H985" s="42"/>
    </row>
    <row r="986" spans="5:8" x14ac:dyDescent="0.25">
      <c r="E986" s="39"/>
      <c r="F986" s="42"/>
      <c r="G986" s="42"/>
      <c r="H986" s="42"/>
    </row>
    <row r="987" spans="5:8" x14ac:dyDescent="0.25">
      <c r="E987" s="39"/>
      <c r="F987" s="42"/>
      <c r="G987" s="42"/>
      <c r="H987" s="42"/>
    </row>
    <row r="988" spans="5:8" x14ac:dyDescent="0.25">
      <c r="E988" s="39"/>
      <c r="F988" s="42"/>
      <c r="G988" s="42"/>
      <c r="H988" s="42"/>
    </row>
    <row r="989" spans="5:8" x14ac:dyDescent="0.25">
      <c r="E989" s="39"/>
      <c r="F989" s="42"/>
      <c r="G989" s="42"/>
      <c r="H989" s="42"/>
    </row>
    <row r="990" spans="5:8" x14ac:dyDescent="0.25">
      <c r="E990" s="39"/>
      <c r="F990" s="42"/>
      <c r="G990" s="42"/>
      <c r="H990" s="42"/>
    </row>
    <row r="991" spans="5:8" x14ac:dyDescent="0.25">
      <c r="E991" s="39"/>
      <c r="F991" s="42"/>
      <c r="G991" s="42"/>
      <c r="H991" s="42"/>
    </row>
    <row r="992" spans="5:8" x14ac:dyDescent="0.25">
      <c r="E992" s="39"/>
      <c r="F992" s="42"/>
      <c r="G992" s="42"/>
      <c r="H992" s="42"/>
    </row>
    <row r="993" spans="5:8" x14ac:dyDescent="0.25">
      <c r="E993" s="39"/>
      <c r="F993" s="42"/>
      <c r="G993" s="42"/>
      <c r="H993" s="42"/>
    </row>
    <row r="994" spans="5:8" x14ac:dyDescent="0.25">
      <c r="E994" s="39"/>
      <c r="F994" s="42"/>
      <c r="G994" s="42"/>
      <c r="H994" s="42"/>
    </row>
    <row r="995" spans="5:8" x14ac:dyDescent="0.25">
      <c r="E995" s="39"/>
      <c r="F995" s="42"/>
      <c r="G995" s="42"/>
      <c r="H995" s="42"/>
    </row>
    <row r="996" spans="5:8" x14ac:dyDescent="0.25">
      <c r="E996" s="39"/>
      <c r="F996" s="42"/>
      <c r="G996" s="42"/>
      <c r="H996" s="42"/>
    </row>
    <row r="997" spans="5:8" x14ac:dyDescent="0.25">
      <c r="E997" s="39"/>
      <c r="F997" s="42"/>
      <c r="G997" s="42"/>
      <c r="H997" s="42"/>
    </row>
    <row r="998" spans="5:8" x14ac:dyDescent="0.25">
      <c r="E998" s="39"/>
      <c r="F998" s="42"/>
      <c r="G998" s="42"/>
      <c r="H998" s="42"/>
    </row>
    <row r="999" spans="5:8" x14ac:dyDescent="0.25">
      <c r="E999" s="39"/>
      <c r="F999" s="42"/>
      <c r="G999" s="42"/>
      <c r="H999" s="42"/>
    </row>
    <row r="1000" spans="5:8" x14ac:dyDescent="0.25">
      <c r="E1000" s="39"/>
      <c r="F1000" s="42"/>
      <c r="G1000" s="42"/>
      <c r="H1000" s="42"/>
    </row>
    <row r="1001" spans="5:8" x14ac:dyDescent="0.25">
      <c r="E1001" s="39"/>
      <c r="F1001" s="42"/>
      <c r="G1001" s="42"/>
      <c r="H1001" s="42"/>
    </row>
    <row r="1002" spans="5:8" x14ac:dyDescent="0.25">
      <c r="E1002" s="39"/>
      <c r="F1002" s="42"/>
      <c r="G1002" s="42"/>
      <c r="H1002" s="42"/>
    </row>
    <row r="1003" spans="5:8" x14ac:dyDescent="0.25">
      <c r="E1003" s="39"/>
      <c r="F1003" s="42"/>
      <c r="G1003" s="42"/>
      <c r="H1003" s="42"/>
    </row>
    <row r="1004" spans="5:8" x14ac:dyDescent="0.25">
      <c r="E1004" s="39"/>
      <c r="F1004" s="42"/>
      <c r="G1004" s="42"/>
      <c r="H1004" s="42"/>
    </row>
    <row r="1005" spans="5:8" x14ac:dyDescent="0.25">
      <c r="E1005" s="39"/>
      <c r="F1005" s="42"/>
      <c r="G1005" s="42"/>
      <c r="H1005" s="42"/>
    </row>
    <row r="1006" spans="5:8" x14ac:dyDescent="0.25">
      <c r="E1006" s="39"/>
      <c r="F1006" s="42"/>
      <c r="G1006" s="42"/>
      <c r="H1006" s="42"/>
    </row>
    <row r="1007" spans="5:8" x14ac:dyDescent="0.25">
      <c r="E1007" s="39"/>
      <c r="F1007" s="42"/>
      <c r="G1007" s="42"/>
      <c r="H1007" s="42"/>
    </row>
    <row r="1008" spans="5:8" x14ac:dyDescent="0.25">
      <c r="E1008" s="39"/>
      <c r="F1008" s="42"/>
      <c r="G1008" s="42"/>
      <c r="H1008" s="42"/>
    </row>
    <row r="1009" spans="5:8" x14ac:dyDescent="0.25">
      <c r="E1009" s="39"/>
      <c r="F1009" s="42"/>
      <c r="G1009" s="42"/>
      <c r="H1009" s="42"/>
    </row>
    <row r="1010" spans="5:8" x14ac:dyDescent="0.25">
      <c r="E1010" s="39"/>
      <c r="F1010" s="42"/>
      <c r="G1010" s="42"/>
      <c r="H1010" s="42"/>
    </row>
    <row r="1011" spans="5:8" x14ac:dyDescent="0.25">
      <c r="E1011" s="39"/>
      <c r="F1011" s="42"/>
      <c r="G1011" s="42"/>
      <c r="H1011" s="42"/>
    </row>
    <row r="1012" spans="5:8" x14ac:dyDescent="0.25">
      <c r="E1012" s="39"/>
      <c r="F1012" s="42"/>
      <c r="G1012" s="42"/>
      <c r="H1012" s="42"/>
    </row>
    <row r="1013" spans="5:8" x14ac:dyDescent="0.25">
      <c r="E1013" s="39"/>
      <c r="F1013" s="42"/>
      <c r="G1013" s="42"/>
      <c r="H1013" s="42"/>
    </row>
    <row r="1014" spans="5:8" x14ac:dyDescent="0.25">
      <c r="E1014" s="39"/>
      <c r="F1014" s="42"/>
      <c r="G1014" s="42"/>
      <c r="H1014" s="42"/>
    </row>
    <row r="1015" spans="5:8" x14ac:dyDescent="0.25">
      <c r="E1015" s="39"/>
      <c r="F1015" s="42"/>
      <c r="G1015" s="42"/>
      <c r="H1015" s="42"/>
    </row>
    <row r="1016" spans="5:8" x14ac:dyDescent="0.25">
      <c r="E1016" s="39"/>
      <c r="F1016" s="42"/>
      <c r="G1016" s="42"/>
      <c r="H1016" s="42"/>
    </row>
    <row r="1017" spans="5:8" x14ac:dyDescent="0.25">
      <c r="E1017" s="39"/>
      <c r="F1017" s="42"/>
      <c r="G1017" s="42"/>
      <c r="H1017" s="42"/>
    </row>
    <row r="1018" spans="5:8" x14ac:dyDescent="0.25">
      <c r="E1018" s="39"/>
      <c r="F1018" s="42"/>
      <c r="G1018" s="42"/>
      <c r="H1018" s="42"/>
    </row>
    <row r="1019" spans="5:8" x14ac:dyDescent="0.25">
      <c r="E1019" s="39"/>
      <c r="F1019" s="42"/>
      <c r="G1019" s="42"/>
      <c r="H1019" s="42"/>
    </row>
    <row r="1020" spans="5:8" x14ac:dyDescent="0.25">
      <c r="E1020" s="39"/>
      <c r="F1020" s="42"/>
      <c r="G1020" s="42"/>
      <c r="H1020" s="42"/>
    </row>
    <row r="1021" spans="5:8" x14ac:dyDescent="0.25">
      <c r="E1021" s="39"/>
      <c r="F1021" s="42"/>
      <c r="G1021" s="42"/>
      <c r="H1021" s="42"/>
    </row>
    <row r="1022" spans="5:8" x14ac:dyDescent="0.25">
      <c r="E1022" s="39"/>
      <c r="F1022" s="42"/>
      <c r="G1022" s="42"/>
      <c r="H1022" s="42"/>
    </row>
    <row r="1023" spans="5:8" x14ac:dyDescent="0.25">
      <c r="E1023" s="39"/>
      <c r="F1023" s="42"/>
      <c r="G1023" s="42"/>
      <c r="H1023" s="42"/>
    </row>
    <row r="1024" spans="5:8" x14ac:dyDescent="0.25">
      <c r="E1024" s="39"/>
      <c r="F1024" s="42"/>
      <c r="G1024" s="42"/>
      <c r="H1024" s="42"/>
    </row>
    <row r="1025" spans="5:8" x14ac:dyDescent="0.25">
      <c r="E1025" s="39"/>
      <c r="F1025" s="42"/>
      <c r="G1025" s="42"/>
      <c r="H1025" s="42"/>
    </row>
    <row r="1026" spans="5:8" x14ac:dyDescent="0.25">
      <c r="E1026" s="39"/>
      <c r="F1026" s="42"/>
      <c r="G1026" s="42"/>
      <c r="H1026" s="42"/>
    </row>
    <row r="1027" spans="5:8" x14ac:dyDescent="0.25">
      <c r="E1027" s="39"/>
      <c r="F1027" s="42"/>
      <c r="G1027" s="42"/>
      <c r="H1027" s="42"/>
    </row>
    <row r="1028" spans="5:8" x14ac:dyDescent="0.25">
      <c r="E1028" s="39"/>
      <c r="F1028" s="42"/>
      <c r="G1028" s="42"/>
      <c r="H1028" s="42"/>
    </row>
    <row r="1029" spans="5:8" x14ac:dyDescent="0.25">
      <c r="E1029" s="39"/>
      <c r="F1029" s="42"/>
      <c r="G1029" s="42"/>
      <c r="H1029" s="42"/>
    </row>
    <row r="1030" spans="5:8" x14ac:dyDescent="0.25">
      <c r="E1030" s="39"/>
      <c r="F1030" s="42"/>
      <c r="G1030" s="42"/>
      <c r="H1030" s="42"/>
    </row>
    <row r="1031" spans="5:8" x14ac:dyDescent="0.25">
      <c r="E1031" s="39"/>
      <c r="F1031" s="42"/>
      <c r="G1031" s="42"/>
      <c r="H1031" s="42"/>
    </row>
    <row r="1032" spans="5:8" x14ac:dyDescent="0.25">
      <c r="E1032" s="39"/>
      <c r="F1032" s="42"/>
      <c r="G1032" s="42"/>
      <c r="H1032" s="42"/>
    </row>
    <row r="1033" spans="5:8" x14ac:dyDescent="0.25">
      <c r="E1033" s="39"/>
      <c r="F1033" s="42"/>
      <c r="G1033" s="42"/>
      <c r="H1033" s="42"/>
    </row>
    <row r="1034" spans="5:8" x14ac:dyDescent="0.25">
      <c r="E1034" s="39"/>
      <c r="F1034" s="42"/>
      <c r="G1034" s="42"/>
      <c r="H1034" s="42"/>
    </row>
    <row r="1035" spans="5:8" x14ac:dyDescent="0.25">
      <c r="E1035" s="39"/>
      <c r="F1035" s="42"/>
      <c r="G1035" s="42"/>
      <c r="H1035" s="42"/>
    </row>
    <row r="1036" spans="5:8" x14ac:dyDescent="0.25">
      <c r="E1036" s="39"/>
      <c r="F1036" s="42"/>
      <c r="G1036" s="42"/>
      <c r="H1036" s="42"/>
    </row>
    <row r="1037" spans="5:8" x14ac:dyDescent="0.25">
      <c r="E1037" s="39"/>
      <c r="F1037" s="42"/>
      <c r="G1037" s="42"/>
      <c r="H1037" s="42"/>
    </row>
    <row r="1038" spans="5:8" x14ac:dyDescent="0.25">
      <c r="E1038" s="39"/>
      <c r="F1038" s="42"/>
      <c r="G1038" s="42"/>
      <c r="H1038" s="42"/>
    </row>
    <row r="1039" spans="5:8" x14ac:dyDescent="0.25">
      <c r="E1039" s="39"/>
      <c r="F1039" s="42"/>
      <c r="G1039" s="42"/>
      <c r="H1039" s="42"/>
    </row>
    <row r="1040" spans="5:8" x14ac:dyDescent="0.25">
      <c r="E1040" s="39"/>
      <c r="F1040" s="42"/>
      <c r="G1040" s="42"/>
      <c r="H1040" s="42"/>
    </row>
  </sheetData>
  <mergeCells count="39">
    <mergeCell ref="D33:F33"/>
    <mergeCell ref="G39:H39"/>
    <mergeCell ref="E2:G2"/>
    <mergeCell ref="B5:C5"/>
    <mergeCell ref="B6:C6"/>
    <mergeCell ref="B7:C7"/>
    <mergeCell ref="B8:C8"/>
    <mergeCell ref="B4:C4"/>
    <mergeCell ref="D4:E4"/>
    <mergeCell ref="B9:C9"/>
    <mergeCell ref="G4:J4"/>
    <mergeCell ref="I5:J5"/>
    <mergeCell ref="I6:J6"/>
    <mergeCell ref="I8:J8"/>
    <mergeCell ref="I9:J9"/>
    <mergeCell ref="F24:F30"/>
    <mergeCell ref="I7:J7"/>
    <mergeCell ref="D23:E23"/>
    <mergeCell ref="H14:H15"/>
    <mergeCell ref="H19:H20"/>
    <mergeCell ref="G24:G26"/>
    <mergeCell ref="G14:G16"/>
    <mergeCell ref="E12:G12"/>
    <mergeCell ref="D18:E18"/>
    <mergeCell ref="D16:E16"/>
    <mergeCell ref="D15:E15"/>
    <mergeCell ref="D14:E14"/>
    <mergeCell ref="D13:E13"/>
    <mergeCell ref="G28:G30"/>
    <mergeCell ref="H24:H25"/>
    <mergeCell ref="H29:H30"/>
    <mergeCell ref="D24:E24"/>
    <mergeCell ref="G18:G20"/>
    <mergeCell ref="F14:F20"/>
    <mergeCell ref="D22:E22"/>
    <mergeCell ref="D21:E21"/>
    <mergeCell ref="D20:E20"/>
    <mergeCell ref="D19:E19"/>
    <mergeCell ref="D17:E1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257DC-96A5-418C-B39B-D16B62B1094F}">
  <dimension ref="A2:I23"/>
  <sheetViews>
    <sheetView topLeftCell="A10" zoomScaleNormal="100" workbookViewId="0">
      <selection activeCell="F32" sqref="F32"/>
    </sheetView>
  </sheetViews>
  <sheetFormatPr defaultRowHeight="15" x14ac:dyDescent="0.25"/>
  <cols>
    <col min="2" max="2" width="22.85546875" bestFit="1" customWidth="1"/>
    <col min="4" max="4" width="33.5703125" customWidth="1"/>
    <col min="5" max="5" width="11.28515625" customWidth="1"/>
    <col min="6" max="6" width="11.85546875" customWidth="1"/>
    <col min="7" max="7" width="10.85546875" customWidth="1"/>
    <col min="8" max="8" width="12.5703125" customWidth="1"/>
    <col min="9" max="9" width="14.140625" bestFit="1" customWidth="1"/>
  </cols>
  <sheetData>
    <row r="2" spans="1:9" ht="15.75" thickBot="1" x14ac:dyDescent="0.3"/>
    <row r="3" spans="1:9" ht="16.5" thickTop="1" thickBot="1" x14ac:dyDescent="0.3">
      <c r="D3" s="68" t="s">
        <v>19</v>
      </c>
      <c r="E3" s="69"/>
      <c r="F3" s="70"/>
      <c r="G3" s="15"/>
      <c r="H3" s="8"/>
      <c r="I3" s="8"/>
    </row>
    <row r="4" spans="1:9" ht="16.5" thickTop="1" thickBot="1" x14ac:dyDescent="0.3">
      <c r="A4" s="6"/>
      <c r="B4" s="24" t="s">
        <v>20</v>
      </c>
      <c r="C4" s="68" t="e" vm="2">
        <v>#VALUE!</v>
      </c>
      <c r="D4" s="70"/>
      <c r="F4" s="32"/>
      <c r="G4" s="49" t="s">
        <v>21</v>
      </c>
      <c r="H4" s="49" t="s">
        <v>22</v>
      </c>
      <c r="I4" s="50" t="s">
        <v>23</v>
      </c>
    </row>
    <row r="5" spans="1:9" ht="16.5" thickTop="1" thickBot="1" x14ac:dyDescent="0.3">
      <c r="A5" s="6"/>
      <c r="B5" s="19" t="s">
        <v>24</v>
      </c>
      <c r="C5" s="81" cm="1">
        <f t="array" aca="1" ref="C5" ca="1">_FV(C4,"PriCE")</f>
        <v>182.11410000000001</v>
      </c>
      <c r="D5" s="74"/>
      <c r="E5" s="94" t="s">
        <v>24</v>
      </c>
      <c r="F5" s="97"/>
      <c r="G5" s="92"/>
      <c r="H5" s="25"/>
      <c r="I5" s="28">
        <f ca="1">H6*C13</f>
        <v>487.63795708317207</v>
      </c>
    </row>
    <row r="6" spans="1:9" ht="16.5" thickTop="1" thickBot="1" x14ac:dyDescent="0.3">
      <c r="A6" s="6"/>
      <c r="B6" s="48" t="s">
        <v>25</v>
      </c>
      <c r="C6" s="82">
        <v>300</v>
      </c>
      <c r="D6" s="83"/>
      <c r="E6" s="95"/>
      <c r="F6" s="66"/>
      <c r="G6" s="93"/>
      <c r="H6" s="27">
        <f ca="1">G7*C13</f>
        <v>351.16632235686808</v>
      </c>
      <c r="I6" s="26"/>
    </row>
    <row r="7" spans="1:9" ht="16.5" thickTop="1" thickBot="1" x14ac:dyDescent="0.3">
      <c r="A7" s="6"/>
      <c r="B7" s="48" t="s">
        <v>26</v>
      </c>
      <c r="C7" s="54" t="s">
        <v>27</v>
      </c>
      <c r="D7" s="84"/>
      <c r="E7" s="95"/>
      <c r="F7" s="71"/>
      <c r="G7" s="27">
        <f ca="1">F8*C13</f>
        <v>252.88799644572083</v>
      </c>
      <c r="H7" s="26"/>
      <c r="I7" s="28">
        <f ca="1">H6*C14</f>
        <v>252.8879964457208</v>
      </c>
    </row>
    <row r="8" spans="1:9" ht="16.5" thickTop="1" thickBot="1" x14ac:dyDescent="0.3">
      <c r="A8" s="6"/>
      <c r="B8" s="48" t="s">
        <v>28</v>
      </c>
      <c r="C8" s="85">
        <v>1.03E-2</v>
      </c>
      <c r="D8" s="86"/>
      <c r="E8" s="95"/>
      <c r="F8" s="27">
        <f ca="1">C5</f>
        <v>182.11410000000001</v>
      </c>
      <c r="G8" s="5"/>
      <c r="H8" s="27">
        <f ca="1">G9*C13</f>
        <v>182.11409999999998</v>
      </c>
      <c r="I8" s="26"/>
    </row>
    <row r="9" spans="1:9" ht="16.5" thickTop="1" thickBot="1" x14ac:dyDescent="0.3">
      <c r="A9" s="6"/>
      <c r="B9" s="48" t="s">
        <v>29</v>
      </c>
      <c r="C9" s="85">
        <v>0.40210000000000001</v>
      </c>
      <c r="D9" s="86"/>
      <c r="E9" s="95"/>
      <c r="F9" s="64" t="s">
        <v>30</v>
      </c>
      <c r="G9" s="27">
        <f ca="1">F8*C14</f>
        <v>131.14717141558182</v>
      </c>
      <c r="H9" s="5"/>
      <c r="I9" s="28">
        <f ca="1">H10*C13</f>
        <v>131.14717141558182</v>
      </c>
    </row>
    <row r="10" spans="1:9" ht="16.5" thickTop="1" thickBot="1" x14ac:dyDescent="0.3">
      <c r="A10" s="6"/>
      <c r="B10" s="48" t="s">
        <v>31</v>
      </c>
      <c r="C10" s="87" cm="1">
        <f t="array" aca="1" ref="C10" ca="1">_FV(C4,"Shares outstanding",TRUE)</f>
        <v>24300000000</v>
      </c>
      <c r="D10" s="88"/>
      <c r="E10" s="95"/>
      <c r="F10" s="66"/>
      <c r="G10" s="92"/>
      <c r="H10" s="27">
        <f ca="1">G9*C14</f>
        <v>94.443980835684897</v>
      </c>
      <c r="I10" s="6"/>
    </row>
    <row r="11" spans="1:9" ht="16.5" thickTop="1" thickBot="1" x14ac:dyDescent="0.3">
      <c r="A11" s="6"/>
      <c r="B11" s="48" t="s">
        <v>32</v>
      </c>
      <c r="C11" s="56">
        <v>2</v>
      </c>
      <c r="D11" s="101"/>
      <c r="E11" s="96"/>
      <c r="F11" s="98"/>
      <c r="G11" s="99"/>
      <c r="H11" s="33"/>
      <c r="I11" s="28">
        <f ca="1">H10*C14</f>
        <v>68.012641216838745</v>
      </c>
    </row>
    <row r="12" spans="1:9" ht="15.75" thickTop="1" x14ac:dyDescent="0.25">
      <c r="A12" s="6"/>
      <c r="B12" s="48" t="s">
        <v>33</v>
      </c>
      <c r="C12" s="55">
        <v>3</v>
      </c>
      <c r="D12" s="55"/>
      <c r="I12" s="6"/>
    </row>
    <row r="13" spans="1:9" ht="15.75" thickBot="1" x14ac:dyDescent="0.3">
      <c r="A13" s="6"/>
      <c r="B13" s="48" t="s">
        <v>34</v>
      </c>
      <c r="C13" s="53">
        <f>SUM(EXP(C9*(SQRT(C11/3))))</f>
        <v>1.3886239255813846</v>
      </c>
      <c r="D13" s="53"/>
      <c r="G13" s="8"/>
      <c r="H13" s="8"/>
      <c r="I13" s="12"/>
    </row>
    <row r="14" spans="1:9" ht="16.5" thickTop="1" thickBot="1" x14ac:dyDescent="0.3">
      <c r="A14" s="6"/>
      <c r="B14" s="48" t="s">
        <v>35</v>
      </c>
      <c r="C14" s="53">
        <f>EXP(-C9*SQRT(C11/C12))</f>
        <v>0.72013738318769294</v>
      </c>
      <c r="D14" s="53"/>
      <c r="F14" s="31"/>
      <c r="G14" s="21" t="s">
        <v>21</v>
      </c>
      <c r="H14" s="20" t="s">
        <v>36</v>
      </c>
      <c r="I14" s="23" t="s">
        <v>23</v>
      </c>
    </row>
    <row r="15" spans="1:9" ht="16.5" thickTop="1" thickBot="1" x14ac:dyDescent="0.3">
      <c r="A15" s="6"/>
      <c r="B15" s="21" t="s">
        <v>37</v>
      </c>
      <c r="C15" s="93">
        <f>SUM(((EXP((C8*(C11/C12))))-C14)/(C13-C14))</f>
        <v>0.42895839318219342</v>
      </c>
      <c r="D15" s="100"/>
      <c r="E15" s="94" t="s">
        <v>38</v>
      </c>
      <c r="F15" s="97"/>
      <c r="G15" s="92"/>
      <c r="I15" s="28">
        <f ca="1">I5-C6</f>
        <v>187.63795708317207</v>
      </c>
    </row>
    <row r="16" spans="1:9" ht="16.5" thickTop="1" thickBot="1" x14ac:dyDescent="0.3">
      <c r="D16" s="4"/>
      <c r="E16" s="95"/>
      <c r="F16" s="66"/>
      <c r="G16" s="93"/>
      <c r="H16" s="27">
        <f ca="1">SUM(EXP(-C8*(C11/C12)))*((C15*I15)+((1-C15)*I17))</f>
        <v>53.219265850997303</v>
      </c>
      <c r="I16" s="6"/>
    </row>
    <row r="17" spans="2:9" ht="16.5" thickTop="1" thickBot="1" x14ac:dyDescent="0.3">
      <c r="C17" s="34"/>
      <c r="D17" s="36"/>
      <c r="E17" s="95"/>
      <c r="F17" s="71"/>
      <c r="G17" s="29">
        <f ca="1">SUM(EXP(-C8*(C11/C12)))*((C15*H16)+((1-C15)*H18))</f>
        <v>11.289801311205478</v>
      </c>
      <c r="H17" s="22"/>
      <c r="I17" s="30">
        <f ca="1">I7-C6</f>
        <v>-47.112003554279198</v>
      </c>
    </row>
    <row r="18" spans="2:9" ht="16.5" thickTop="1" thickBot="1" x14ac:dyDescent="0.3">
      <c r="B18" s="35"/>
      <c r="E18" s="95"/>
      <c r="F18" s="27">
        <f ca="1">SUM(EXP(-C8*(C11/C12)))*((C15*G17)+((1-C15)*G19))</f>
        <v>-3.9631642050774359E-2</v>
      </c>
      <c r="G18" s="22"/>
      <c r="H18" s="27">
        <f ca="1">SUM(EXP(-C8*(C11/C12)))*((C15*I17)+((1-C15)*I19))</f>
        <v>-20.070795615932294</v>
      </c>
      <c r="I18" s="6"/>
    </row>
    <row r="19" spans="2:9" ht="16.5" thickTop="1" thickBot="1" x14ac:dyDescent="0.3">
      <c r="B19" s="48"/>
      <c r="E19" s="95"/>
      <c r="F19" s="89"/>
      <c r="G19" s="27">
        <f ca="1">SUM(EXP(-C8*(C11/C12)))*((C15*H18)+((1-C15)*H20))</f>
        <v>-8.5506199326124221</v>
      </c>
      <c r="H19" s="22"/>
      <c r="I19" s="26">
        <v>0</v>
      </c>
    </row>
    <row r="20" spans="2:9" ht="16.5" thickTop="1" thickBot="1" x14ac:dyDescent="0.3">
      <c r="B20" s="48"/>
      <c r="E20" s="95"/>
      <c r="F20" s="90"/>
      <c r="G20" s="92"/>
      <c r="H20" s="27">
        <v>0</v>
      </c>
      <c r="I20" s="6"/>
    </row>
    <row r="21" spans="2:9" ht="16.5" thickTop="1" thickBot="1" x14ac:dyDescent="0.3">
      <c r="B21" s="48"/>
      <c r="E21" s="96"/>
      <c r="F21" s="91"/>
      <c r="G21" s="93"/>
      <c r="H21" s="8"/>
      <c r="I21" s="26">
        <v>0</v>
      </c>
    </row>
    <row r="22" spans="2:9" ht="15.75" thickTop="1" x14ac:dyDescent="0.25">
      <c r="B22" s="48"/>
    </row>
    <row r="23" spans="2:9" x14ac:dyDescent="0.25">
      <c r="B23" s="48"/>
    </row>
  </sheetData>
  <mergeCells count="23">
    <mergeCell ref="F19:F21"/>
    <mergeCell ref="G20:G21"/>
    <mergeCell ref="D3:F3"/>
    <mergeCell ref="C4:D4"/>
    <mergeCell ref="E5:E11"/>
    <mergeCell ref="F5:F7"/>
    <mergeCell ref="G5:G6"/>
    <mergeCell ref="F9:F11"/>
    <mergeCell ref="G10:G11"/>
    <mergeCell ref="C15:D15"/>
    <mergeCell ref="E15:E21"/>
    <mergeCell ref="F15:F17"/>
    <mergeCell ref="G15:G16"/>
    <mergeCell ref="C11:D11"/>
    <mergeCell ref="C12:D12"/>
    <mergeCell ref="C13:D13"/>
    <mergeCell ref="C14:D14"/>
    <mergeCell ref="C5:D5"/>
    <mergeCell ref="C6:D6"/>
    <mergeCell ref="C7:D7"/>
    <mergeCell ref="C8:D8"/>
    <mergeCell ref="C9:D9"/>
    <mergeCell ref="C10:D1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19B96-BC79-4FAF-9192-48B7246208AC}">
  <dimension ref="C4:I1010"/>
  <sheetViews>
    <sheetView tabSelected="1" workbookViewId="0">
      <selection activeCell="D24" sqref="D24"/>
    </sheetView>
  </sheetViews>
  <sheetFormatPr defaultRowHeight="15" x14ac:dyDescent="0.25"/>
  <cols>
    <col min="3" max="3" width="15.5703125" bestFit="1" customWidth="1"/>
    <col min="4" max="4" width="10.42578125" bestFit="1" customWidth="1"/>
    <col min="5" max="5" width="11" bestFit="1" customWidth="1"/>
    <col min="6" max="6" width="10.140625" bestFit="1" customWidth="1"/>
    <col min="7" max="8" width="9.85546875" bestFit="1" customWidth="1"/>
    <col min="9" max="9" width="9.7109375" customWidth="1"/>
  </cols>
  <sheetData>
    <row r="4" spans="3:9" ht="15.75" thickBot="1" x14ac:dyDescent="0.3">
      <c r="E4" s="93" t="s">
        <v>39</v>
      </c>
      <c r="F4" s="93"/>
      <c r="G4" s="93"/>
    </row>
    <row r="5" spans="3:9" ht="16.5" thickTop="1" thickBot="1" x14ac:dyDescent="0.3">
      <c r="C5" s="20" t="s">
        <v>20</v>
      </c>
      <c r="D5" s="8"/>
    </row>
    <row r="6" spans="3:9" ht="15.75" thickTop="1" x14ac:dyDescent="0.25">
      <c r="C6" s="48" t="s">
        <v>7</v>
      </c>
      <c r="D6">
        <v>50</v>
      </c>
      <c r="F6" t="s">
        <v>40</v>
      </c>
      <c r="G6" t="s">
        <v>40</v>
      </c>
    </row>
    <row r="7" spans="3:9" x14ac:dyDescent="0.25">
      <c r="C7" s="38" t="s">
        <v>41</v>
      </c>
      <c r="D7" s="37">
        <v>49.6</v>
      </c>
      <c r="E7" s="34"/>
      <c r="F7" t="s">
        <v>27</v>
      </c>
      <c r="G7" t="s">
        <v>9</v>
      </c>
    </row>
    <row r="8" spans="3:9" ht="15.75" thickBot="1" x14ac:dyDescent="0.3">
      <c r="C8" s="48" t="s">
        <v>42</v>
      </c>
      <c r="D8" s="39">
        <v>0.1</v>
      </c>
      <c r="E8" s="8" t="s">
        <v>43</v>
      </c>
      <c r="F8" s="43">
        <f ca="1">AVERAGE(H11:H1010)</f>
        <v>1057.512504939026</v>
      </c>
      <c r="G8" s="43">
        <f ca="1">AVERAGE(I11:I1010)</f>
        <v>1.4034026962722796</v>
      </c>
    </row>
    <row r="9" spans="3:9" ht="15.75" thickTop="1" x14ac:dyDescent="0.25">
      <c r="C9" s="48" t="s">
        <v>44</v>
      </c>
      <c r="D9" s="39">
        <v>0.1</v>
      </c>
    </row>
    <row r="10" spans="3:9" x14ac:dyDescent="0.25">
      <c r="C10" s="48" t="s">
        <v>45</v>
      </c>
      <c r="D10" s="40">
        <f ca="1">TODAY()</f>
        <v>45953</v>
      </c>
      <c r="E10" s="48" t="s">
        <v>46</v>
      </c>
      <c r="F10" s="48" t="s">
        <v>47</v>
      </c>
      <c r="G10" s="48" t="s">
        <v>48</v>
      </c>
      <c r="H10" s="53" t="s">
        <v>49</v>
      </c>
      <c r="I10" s="53"/>
    </row>
    <row r="11" spans="3:9" x14ac:dyDescent="0.25">
      <c r="C11" s="48" t="s">
        <v>50</v>
      </c>
      <c r="D11" s="40">
        <v>45777</v>
      </c>
      <c r="E11">
        <v>1</v>
      </c>
      <c r="F11" s="39">
        <f t="shared" ref="F11:F42" ca="1" si="0">_xlfn.NORM.INV(RAND(),$E$45,$E$46)</f>
        <v>48.358713664561364</v>
      </c>
      <c r="G11" s="42">
        <f t="shared" ref="G11:G42" ca="1" si="1">$E$39*(1+F11)</f>
        <v>1431.4026962722796</v>
      </c>
      <c r="H11" s="42">
        <f ca="1">MAX(G11-$E$38,0)</f>
        <v>1403.4026962722796</v>
      </c>
      <c r="I11" s="42">
        <f ca="1">MAX(G11-$E$38,0)</f>
        <v>1403.4026962722796</v>
      </c>
    </row>
    <row r="12" spans="3:9" x14ac:dyDescent="0.25">
      <c r="C12" s="48" t="s">
        <v>51</v>
      </c>
      <c r="D12">
        <f ca="1">D11-D10</f>
        <v>-176</v>
      </c>
      <c r="E12">
        <f>E11+1</f>
        <v>2</v>
      </c>
      <c r="F12" s="39">
        <f t="shared" ca="1" si="0"/>
        <v>37.867569929846169</v>
      </c>
      <c r="G12" s="42">
        <f t="shared" ca="1" si="1"/>
        <v>1127.1595279655389</v>
      </c>
      <c r="H12" s="42">
        <f t="shared" ref="H12:H43" ca="1" si="2">MAX(G12-$E$38)</f>
        <v>1099.1595279655389</v>
      </c>
      <c r="I12" s="42">
        <f t="shared" ref="I12:I43" ca="1" si="3">MAX($E$38-$H$43,0)</f>
        <v>0</v>
      </c>
    </row>
    <row r="13" spans="3:9" x14ac:dyDescent="0.25">
      <c r="C13" s="48" t="s">
        <v>47</v>
      </c>
      <c r="D13" s="39">
        <v>2.24E-2</v>
      </c>
      <c r="E13">
        <f t="shared" ref="E13:E76" si="4">E12+1</f>
        <v>3</v>
      </c>
      <c r="F13" s="39">
        <f t="shared" ca="1" si="0"/>
        <v>20.015097466290953</v>
      </c>
      <c r="G13" s="42">
        <f t="shared" ca="1" si="1"/>
        <v>609.4378265224376</v>
      </c>
      <c r="H13" s="42">
        <f t="shared" ca="1" si="2"/>
        <v>581.4378265224376</v>
      </c>
      <c r="I13" s="42">
        <f t="shared" ca="1" si="3"/>
        <v>0</v>
      </c>
    </row>
    <row r="14" spans="3:9" ht="15.75" thickBot="1" x14ac:dyDescent="0.3">
      <c r="C14" s="20" t="s">
        <v>29</v>
      </c>
      <c r="D14" s="41">
        <v>0.25</v>
      </c>
      <c r="E14">
        <f t="shared" si="4"/>
        <v>4</v>
      </c>
      <c r="F14" s="39">
        <f t="shared" ca="1" si="0"/>
        <v>23.357796117895255</v>
      </c>
      <c r="G14" s="42">
        <f t="shared" ca="1" si="1"/>
        <v>706.37608741896236</v>
      </c>
      <c r="H14" s="42">
        <f t="shared" ca="1" si="2"/>
        <v>678.37608741896236</v>
      </c>
      <c r="I14" s="42">
        <f t="shared" ca="1" si="3"/>
        <v>0</v>
      </c>
    </row>
    <row r="15" spans="3:9" ht="15.75" thickTop="1" x14ac:dyDescent="0.25">
      <c r="E15">
        <f t="shared" si="4"/>
        <v>5</v>
      </c>
      <c r="F15" s="39">
        <f t="shared" ca="1" si="0"/>
        <v>84.585545475598877</v>
      </c>
      <c r="G15" s="42">
        <f t="shared" ca="1" si="1"/>
        <v>2481.9808187923672</v>
      </c>
      <c r="H15" s="42">
        <f t="shared" ca="1" si="2"/>
        <v>2453.9808187923672</v>
      </c>
      <c r="I15" s="42">
        <f t="shared" ca="1" si="3"/>
        <v>0</v>
      </c>
    </row>
    <row r="16" spans="3:9" x14ac:dyDescent="0.25">
      <c r="E16">
        <f>E15+1</f>
        <v>6</v>
      </c>
      <c r="F16" s="39">
        <f t="shared" ca="1" si="0"/>
        <v>-1.2809834416842918</v>
      </c>
      <c r="G16" s="42">
        <f t="shared" ca="1" si="1"/>
        <v>-8.1485198088444619</v>
      </c>
      <c r="H16" s="42">
        <f t="shared" ca="1" si="2"/>
        <v>-36.148519808844462</v>
      </c>
      <c r="I16" s="42">
        <f t="shared" ca="1" si="3"/>
        <v>0</v>
      </c>
    </row>
    <row r="17" spans="5:9" x14ac:dyDescent="0.25">
      <c r="E17">
        <f t="shared" si="4"/>
        <v>7</v>
      </c>
      <c r="F17" s="39">
        <f t="shared" ca="1" si="0"/>
        <v>57.845459983593777</v>
      </c>
      <c r="G17" s="42">
        <f t="shared" ca="1" si="1"/>
        <v>1706.5183395242195</v>
      </c>
      <c r="H17" s="42">
        <f t="shared" ca="1" si="2"/>
        <v>1678.5183395242195</v>
      </c>
      <c r="I17" s="42">
        <f t="shared" ca="1" si="3"/>
        <v>0</v>
      </c>
    </row>
    <row r="18" spans="5:9" x14ac:dyDescent="0.25">
      <c r="E18">
        <f t="shared" si="4"/>
        <v>8</v>
      </c>
      <c r="F18" s="39">
        <f t="shared" ca="1" si="0"/>
        <v>37.373949116194453</v>
      </c>
      <c r="G18" s="42">
        <f t="shared" ca="1" si="1"/>
        <v>1112.8445243696392</v>
      </c>
      <c r="H18" s="42">
        <f t="shared" ca="1" si="2"/>
        <v>1084.8445243696392</v>
      </c>
      <c r="I18" s="42">
        <f t="shared" ca="1" si="3"/>
        <v>0</v>
      </c>
    </row>
    <row r="19" spans="5:9" x14ac:dyDescent="0.25">
      <c r="E19">
        <f t="shared" si="4"/>
        <v>9</v>
      </c>
      <c r="F19" s="39">
        <f t="shared" ca="1" si="0"/>
        <v>57.997652855612294</v>
      </c>
      <c r="G19" s="42">
        <f t="shared" ca="1" si="1"/>
        <v>1710.9319328127565</v>
      </c>
      <c r="H19" s="42">
        <f t="shared" ca="1" si="2"/>
        <v>1682.9319328127565</v>
      </c>
      <c r="I19" s="42">
        <f t="shared" ca="1" si="3"/>
        <v>0</v>
      </c>
    </row>
    <row r="20" spans="5:9" x14ac:dyDescent="0.25">
      <c r="E20">
        <f t="shared" si="4"/>
        <v>10</v>
      </c>
      <c r="F20" s="39">
        <f t="shared" ca="1" si="0"/>
        <v>34.645901493144599</v>
      </c>
      <c r="G20" s="42">
        <f t="shared" ca="1" si="1"/>
        <v>1033.7311433011935</v>
      </c>
      <c r="H20" s="42">
        <f t="shared" ca="1" si="2"/>
        <v>1005.7311433011935</v>
      </c>
      <c r="I20" s="42">
        <f t="shared" ca="1" si="3"/>
        <v>0</v>
      </c>
    </row>
    <row r="21" spans="5:9" x14ac:dyDescent="0.25">
      <c r="E21">
        <f t="shared" si="4"/>
        <v>11</v>
      </c>
      <c r="F21" s="39">
        <f t="shared" ca="1" si="0"/>
        <v>62.522611448979411</v>
      </c>
      <c r="G21" s="42">
        <f t="shared" ca="1" si="1"/>
        <v>1842.1557320204029</v>
      </c>
      <c r="H21" s="42">
        <f t="shared" ca="1" si="2"/>
        <v>1814.1557320204029</v>
      </c>
      <c r="I21" s="42">
        <f t="shared" ca="1" si="3"/>
        <v>0</v>
      </c>
    </row>
    <row r="22" spans="5:9" x14ac:dyDescent="0.25">
      <c r="E22">
        <f t="shared" si="4"/>
        <v>12</v>
      </c>
      <c r="F22" s="39">
        <f t="shared" ca="1" si="0"/>
        <v>156.7004497555933</v>
      </c>
      <c r="G22" s="42">
        <f t="shared" ca="1" si="1"/>
        <v>4573.3130429122057</v>
      </c>
      <c r="H22" s="42">
        <f t="shared" ca="1" si="2"/>
        <v>4545.3130429122057</v>
      </c>
      <c r="I22" s="42">
        <f t="shared" ca="1" si="3"/>
        <v>0</v>
      </c>
    </row>
    <row r="23" spans="5:9" x14ac:dyDescent="0.25">
      <c r="E23">
        <f t="shared" si="4"/>
        <v>13</v>
      </c>
      <c r="F23" s="39">
        <f t="shared" ca="1" si="0"/>
        <v>-20.243193605243043</v>
      </c>
      <c r="G23" s="42">
        <f t="shared" ca="1" si="1"/>
        <v>-558.05261455204823</v>
      </c>
      <c r="H23" s="42">
        <f t="shared" ca="1" si="2"/>
        <v>-586.05261455204823</v>
      </c>
      <c r="I23" s="42">
        <f t="shared" ca="1" si="3"/>
        <v>0</v>
      </c>
    </row>
    <row r="24" spans="5:9" x14ac:dyDescent="0.25">
      <c r="E24">
        <f t="shared" si="4"/>
        <v>14</v>
      </c>
      <c r="F24" s="39">
        <f t="shared" ca="1" si="0"/>
        <v>14.15614105420558</v>
      </c>
      <c r="G24" s="42">
        <f t="shared" ca="1" si="1"/>
        <v>439.52809057196185</v>
      </c>
      <c r="H24" s="42">
        <f t="shared" ca="1" si="2"/>
        <v>411.52809057196185</v>
      </c>
      <c r="I24" s="42">
        <f t="shared" ca="1" si="3"/>
        <v>0</v>
      </c>
    </row>
    <row r="25" spans="5:9" x14ac:dyDescent="0.25">
      <c r="E25">
        <f t="shared" si="4"/>
        <v>15</v>
      </c>
      <c r="F25" s="39">
        <f t="shared" ca="1" si="0"/>
        <v>88.676434401382238</v>
      </c>
      <c r="G25" s="42">
        <f t="shared" ca="1" si="1"/>
        <v>2600.6165976400848</v>
      </c>
      <c r="H25" s="42">
        <f t="shared" ca="1" si="2"/>
        <v>2572.6165976400848</v>
      </c>
      <c r="I25" s="42">
        <f t="shared" ca="1" si="3"/>
        <v>0</v>
      </c>
    </row>
    <row r="26" spans="5:9" x14ac:dyDescent="0.25">
      <c r="E26">
        <f t="shared" si="4"/>
        <v>16</v>
      </c>
      <c r="F26" s="39">
        <f t="shared" ca="1" si="0"/>
        <v>36.809506977930347</v>
      </c>
      <c r="G26" s="42">
        <f t="shared" ca="1" si="1"/>
        <v>1096.47570235998</v>
      </c>
      <c r="H26" s="42">
        <f t="shared" ca="1" si="2"/>
        <v>1068.47570235998</v>
      </c>
      <c r="I26" s="42">
        <f t="shared" ca="1" si="3"/>
        <v>0</v>
      </c>
    </row>
    <row r="27" spans="5:9" x14ac:dyDescent="0.25">
      <c r="E27">
        <f t="shared" si="4"/>
        <v>17</v>
      </c>
      <c r="F27" s="39">
        <f t="shared" ca="1" si="0"/>
        <v>25.460882028471197</v>
      </c>
      <c r="G27" s="42">
        <f t="shared" ca="1" si="1"/>
        <v>767.36557882566467</v>
      </c>
      <c r="H27" s="42">
        <f t="shared" ca="1" si="2"/>
        <v>739.36557882566467</v>
      </c>
      <c r="I27" s="42">
        <f t="shared" ca="1" si="3"/>
        <v>0</v>
      </c>
    </row>
    <row r="28" spans="5:9" x14ac:dyDescent="0.25">
      <c r="E28">
        <f t="shared" si="4"/>
        <v>18</v>
      </c>
      <c r="F28" s="39">
        <f t="shared" ca="1" si="0"/>
        <v>27.000259550867</v>
      </c>
      <c r="G28" s="42">
        <f t="shared" ca="1" si="1"/>
        <v>812.00752697514304</v>
      </c>
      <c r="H28" s="42">
        <f t="shared" ca="1" si="2"/>
        <v>784.00752697514304</v>
      </c>
      <c r="I28" s="42">
        <f t="shared" ca="1" si="3"/>
        <v>0</v>
      </c>
    </row>
    <row r="29" spans="5:9" x14ac:dyDescent="0.25">
      <c r="E29">
        <f t="shared" si="4"/>
        <v>19</v>
      </c>
      <c r="F29" s="39">
        <f t="shared" ca="1" si="0"/>
        <v>61.174554873852813</v>
      </c>
      <c r="G29" s="42">
        <f t="shared" ca="1" si="1"/>
        <v>1803.0620913417315</v>
      </c>
      <c r="H29" s="42">
        <f t="shared" ca="1" si="2"/>
        <v>1775.0620913417315</v>
      </c>
      <c r="I29" s="42">
        <f t="shared" ca="1" si="3"/>
        <v>0</v>
      </c>
    </row>
    <row r="30" spans="5:9" x14ac:dyDescent="0.25">
      <c r="E30">
        <f t="shared" si="4"/>
        <v>20</v>
      </c>
      <c r="F30" s="39">
        <f t="shared" ca="1" si="0"/>
        <v>40.41235232392976</v>
      </c>
      <c r="G30" s="42">
        <f t="shared" ca="1" si="1"/>
        <v>1200.958217393963</v>
      </c>
      <c r="H30" s="42">
        <f t="shared" ca="1" si="2"/>
        <v>1172.958217393963</v>
      </c>
      <c r="I30" s="42">
        <f t="shared" ca="1" si="3"/>
        <v>0</v>
      </c>
    </row>
    <row r="31" spans="5:9" x14ac:dyDescent="0.25">
      <c r="E31">
        <f t="shared" si="4"/>
        <v>21</v>
      </c>
      <c r="F31" s="39">
        <f t="shared" ca="1" si="0"/>
        <v>51.258120075493167</v>
      </c>
      <c r="G31" s="42">
        <f t="shared" ca="1" si="1"/>
        <v>1515.4854821893018</v>
      </c>
      <c r="H31" s="42">
        <f t="shared" ca="1" si="2"/>
        <v>1487.4854821893018</v>
      </c>
      <c r="I31" s="42">
        <f t="shared" ca="1" si="3"/>
        <v>0</v>
      </c>
    </row>
    <row r="32" spans="5:9" x14ac:dyDescent="0.25">
      <c r="E32">
        <f t="shared" si="4"/>
        <v>22</v>
      </c>
      <c r="F32" s="39">
        <f t="shared" ca="1" si="0"/>
        <v>-7.1154336379591641</v>
      </c>
      <c r="G32" s="42">
        <f t="shared" ca="1" si="1"/>
        <v>-177.34757550081576</v>
      </c>
      <c r="H32" s="42">
        <f t="shared" ca="1" si="2"/>
        <v>-205.34757550081576</v>
      </c>
      <c r="I32" s="42">
        <f t="shared" ca="1" si="3"/>
        <v>0</v>
      </c>
    </row>
    <row r="33" spans="5:9" x14ac:dyDescent="0.25">
      <c r="E33">
        <f t="shared" si="4"/>
        <v>23</v>
      </c>
      <c r="F33" s="39">
        <f t="shared" ca="1" si="0"/>
        <v>30.467817487935513</v>
      </c>
      <c r="G33" s="42">
        <f t="shared" ca="1" si="1"/>
        <v>912.5667071501299</v>
      </c>
      <c r="H33" s="42">
        <f t="shared" ca="1" si="2"/>
        <v>884.5667071501299</v>
      </c>
      <c r="I33" s="42">
        <f t="shared" ca="1" si="3"/>
        <v>0</v>
      </c>
    </row>
    <row r="34" spans="5:9" x14ac:dyDescent="0.25">
      <c r="E34">
        <f t="shared" si="4"/>
        <v>24</v>
      </c>
      <c r="F34" s="39">
        <f t="shared" ca="1" si="0"/>
        <v>81.242499523352421</v>
      </c>
      <c r="G34" s="42">
        <f t="shared" ca="1" si="1"/>
        <v>2385.0324861772201</v>
      </c>
      <c r="H34" s="42">
        <f t="shared" ca="1" si="2"/>
        <v>2357.0324861772201</v>
      </c>
      <c r="I34" s="42">
        <f t="shared" ca="1" si="3"/>
        <v>0</v>
      </c>
    </row>
    <row r="35" spans="5:9" x14ac:dyDescent="0.25">
      <c r="E35">
        <f t="shared" si="4"/>
        <v>25</v>
      </c>
      <c r="F35" s="39">
        <f t="shared" ca="1" si="0"/>
        <v>13.995925191417466</v>
      </c>
      <c r="G35" s="42">
        <f t="shared" ca="1" si="1"/>
        <v>434.88183055110653</v>
      </c>
      <c r="H35" s="42">
        <f t="shared" ca="1" si="2"/>
        <v>406.88183055110653</v>
      </c>
      <c r="I35" s="42">
        <f t="shared" ca="1" si="3"/>
        <v>0</v>
      </c>
    </row>
    <row r="36" spans="5:9" x14ac:dyDescent="0.25">
      <c r="E36">
        <f t="shared" si="4"/>
        <v>26</v>
      </c>
      <c r="F36" s="39">
        <f t="shared" ca="1" si="0"/>
        <v>-5.4002715730024846</v>
      </c>
      <c r="G36" s="42">
        <f t="shared" ca="1" si="1"/>
        <v>-127.60787561707205</v>
      </c>
      <c r="H36" s="42">
        <f t="shared" ca="1" si="2"/>
        <v>-155.60787561707207</v>
      </c>
      <c r="I36" s="42">
        <f t="shared" ca="1" si="3"/>
        <v>0</v>
      </c>
    </row>
    <row r="37" spans="5:9" x14ac:dyDescent="0.25">
      <c r="E37">
        <f t="shared" si="4"/>
        <v>27</v>
      </c>
      <c r="F37" s="39">
        <f t="shared" ca="1" si="0"/>
        <v>45.795415352016811</v>
      </c>
      <c r="G37" s="42">
        <f t="shared" ca="1" si="1"/>
        <v>1357.0670452084876</v>
      </c>
      <c r="H37" s="42">
        <f t="shared" ca="1" si="2"/>
        <v>1329.0670452084876</v>
      </c>
      <c r="I37" s="42">
        <f t="shared" ca="1" si="3"/>
        <v>0</v>
      </c>
    </row>
    <row r="38" spans="5:9" x14ac:dyDescent="0.25">
      <c r="E38">
        <f t="shared" si="4"/>
        <v>28</v>
      </c>
      <c r="F38" s="39">
        <f t="shared" ca="1" si="0"/>
        <v>62.558569066229467</v>
      </c>
      <c r="G38" s="42">
        <f t="shared" ca="1" si="1"/>
        <v>1843.1985029206546</v>
      </c>
      <c r="H38" s="42">
        <f t="shared" ca="1" si="2"/>
        <v>1815.1985029206546</v>
      </c>
      <c r="I38" s="42">
        <f t="shared" ca="1" si="3"/>
        <v>0</v>
      </c>
    </row>
    <row r="39" spans="5:9" x14ac:dyDescent="0.25">
      <c r="E39">
        <f t="shared" si="4"/>
        <v>29</v>
      </c>
      <c r="F39" s="39">
        <f t="shared" ca="1" si="0"/>
        <v>-9.6408352484568312</v>
      </c>
      <c r="G39" s="42">
        <f t="shared" ca="1" si="1"/>
        <v>-250.5842222052481</v>
      </c>
      <c r="H39" s="42">
        <f t="shared" ca="1" si="2"/>
        <v>-278.58422220524812</v>
      </c>
      <c r="I39" s="42">
        <f t="shared" ca="1" si="3"/>
        <v>0</v>
      </c>
    </row>
    <row r="40" spans="5:9" x14ac:dyDescent="0.25">
      <c r="E40">
        <f t="shared" si="4"/>
        <v>30</v>
      </c>
      <c r="F40" s="39">
        <f t="shared" ca="1" si="0"/>
        <v>73.345521734243746</v>
      </c>
      <c r="G40" s="42">
        <f t="shared" ca="1" si="1"/>
        <v>2156.0201302930686</v>
      </c>
      <c r="H40" s="42">
        <f t="shared" ca="1" si="2"/>
        <v>2128.0201302930686</v>
      </c>
      <c r="I40" s="42">
        <f t="shared" ca="1" si="3"/>
        <v>0</v>
      </c>
    </row>
    <row r="41" spans="5:9" x14ac:dyDescent="0.25">
      <c r="E41">
        <f t="shared" si="4"/>
        <v>31</v>
      </c>
      <c r="F41" s="39">
        <f t="shared" ca="1" si="0"/>
        <v>72.904685914303045</v>
      </c>
      <c r="G41" s="42">
        <f t="shared" ca="1" si="1"/>
        <v>2143.2358915147884</v>
      </c>
      <c r="H41" s="42">
        <f t="shared" ca="1" si="2"/>
        <v>2115.2358915147884</v>
      </c>
      <c r="I41" s="42">
        <f t="shared" ca="1" si="3"/>
        <v>0</v>
      </c>
    </row>
    <row r="42" spans="5:9" x14ac:dyDescent="0.25">
      <c r="E42">
        <f t="shared" si="4"/>
        <v>32</v>
      </c>
      <c r="F42" s="39">
        <f t="shared" ca="1" si="0"/>
        <v>121.85957488902636</v>
      </c>
      <c r="G42" s="42">
        <f t="shared" ca="1" si="1"/>
        <v>3562.9276717817647</v>
      </c>
      <c r="H42" s="42">
        <f t="shared" ca="1" si="2"/>
        <v>3534.9276717817647</v>
      </c>
      <c r="I42" s="42">
        <f t="shared" ca="1" si="3"/>
        <v>0</v>
      </c>
    </row>
    <row r="43" spans="5:9" x14ac:dyDescent="0.25">
      <c r="E43">
        <f t="shared" si="4"/>
        <v>33</v>
      </c>
      <c r="F43" s="39">
        <f t="shared" ref="F43:F75" ca="1" si="5">_xlfn.NORM.INV(RAND(),$E$45,$E$46)</f>
        <v>43.947567620164037</v>
      </c>
      <c r="G43" s="42">
        <f t="shared" ref="G43:G74" ca="1" si="6">$E$39*(1+F43)</f>
        <v>1303.479460984757</v>
      </c>
      <c r="H43" s="42">
        <f t="shared" ca="1" si="2"/>
        <v>1275.479460984757</v>
      </c>
      <c r="I43" s="42">
        <f t="shared" ca="1" si="3"/>
        <v>0</v>
      </c>
    </row>
    <row r="44" spans="5:9" x14ac:dyDescent="0.25">
      <c r="E44">
        <f t="shared" si="4"/>
        <v>34</v>
      </c>
      <c r="F44" s="39">
        <f t="shared" ca="1" si="5"/>
        <v>93.809531363693978</v>
      </c>
      <c r="G44" s="42">
        <f t="shared" ca="1" si="6"/>
        <v>2749.4764095471255</v>
      </c>
      <c r="H44" s="42">
        <f t="shared" ref="H44:H75" ca="1" si="7">MAX(G44-$E$38)</f>
        <v>2721.4764095471255</v>
      </c>
      <c r="I44" s="42">
        <f t="shared" ref="I44:I75" ca="1" si="8">MAX($E$38-$H$43,0)</f>
        <v>0</v>
      </c>
    </row>
    <row r="45" spans="5:9" x14ac:dyDescent="0.25">
      <c r="E45">
        <f t="shared" si="4"/>
        <v>35</v>
      </c>
      <c r="F45" s="39">
        <f t="shared" ca="1" si="5"/>
        <v>-9.1069194741444548</v>
      </c>
      <c r="G45" s="42">
        <f t="shared" ca="1" si="6"/>
        <v>-235.1006647501892</v>
      </c>
      <c r="H45" s="42">
        <f t="shared" ca="1" si="7"/>
        <v>-263.1006647501892</v>
      </c>
      <c r="I45" s="42">
        <f t="shared" ca="1" si="8"/>
        <v>0</v>
      </c>
    </row>
    <row r="46" spans="5:9" x14ac:dyDescent="0.25">
      <c r="E46">
        <f t="shared" si="4"/>
        <v>36</v>
      </c>
      <c r="F46" s="39">
        <f t="shared" ca="1" si="5"/>
        <v>30.557724906978933</v>
      </c>
      <c r="G46" s="42">
        <f t="shared" ca="1" si="6"/>
        <v>915.17402230238906</v>
      </c>
      <c r="H46" s="42">
        <f t="shared" ca="1" si="7"/>
        <v>887.17402230238906</v>
      </c>
      <c r="I46" s="42">
        <f t="shared" ca="1" si="8"/>
        <v>0</v>
      </c>
    </row>
    <row r="47" spans="5:9" x14ac:dyDescent="0.25">
      <c r="E47">
        <f t="shared" si="4"/>
        <v>37</v>
      </c>
      <c r="F47" s="39">
        <f t="shared" ca="1" si="5"/>
        <v>12.564426839176846</v>
      </c>
      <c r="G47" s="42">
        <f t="shared" ca="1" si="6"/>
        <v>393.36837833612856</v>
      </c>
      <c r="H47" s="42">
        <f t="shared" ca="1" si="7"/>
        <v>365.36837833612856</v>
      </c>
      <c r="I47" s="42">
        <f t="shared" ca="1" si="8"/>
        <v>0</v>
      </c>
    </row>
    <row r="48" spans="5:9" x14ac:dyDescent="0.25">
      <c r="E48">
        <f t="shared" si="4"/>
        <v>38</v>
      </c>
      <c r="F48" s="39">
        <f t="shared" ca="1" si="5"/>
        <v>28.923070974623297</v>
      </c>
      <c r="G48" s="42">
        <f t="shared" ca="1" si="6"/>
        <v>867.76905826407562</v>
      </c>
      <c r="H48" s="42">
        <f t="shared" ca="1" si="7"/>
        <v>839.76905826407562</v>
      </c>
      <c r="I48" s="42">
        <f t="shared" ca="1" si="8"/>
        <v>0</v>
      </c>
    </row>
    <row r="49" spans="5:9" x14ac:dyDescent="0.25">
      <c r="E49">
        <f t="shared" si="4"/>
        <v>39</v>
      </c>
      <c r="F49" s="39">
        <f t="shared" ca="1" si="5"/>
        <v>56.146164375578323</v>
      </c>
      <c r="G49" s="42">
        <f t="shared" ca="1" si="6"/>
        <v>1657.2387668917713</v>
      </c>
      <c r="H49" s="42">
        <f t="shared" ca="1" si="7"/>
        <v>1629.2387668917713</v>
      </c>
      <c r="I49" s="42">
        <f t="shared" ca="1" si="8"/>
        <v>0</v>
      </c>
    </row>
    <row r="50" spans="5:9" x14ac:dyDescent="0.25">
      <c r="E50">
        <f t="shared" si="4"/>
        <v>40</v>
      </c>
      <c r="F50" s="39">
        <f t="shared" ca="1" si="5"/>
        <v>51.101518475697176</v>
      </c>
      <c r="G50" s="42">
        <f t="shared" ca="1" si="6"/>
        <v>1510.944035795218</v>
      </c>
      <c r="H50" s="42">
        <f t="shared" ca="1" si="7"/>
        <v>1482.944035795218</v>
      </c>
      <c r="I50" s="42">
        <f t="shared" ca="1" si="8"/>
        <v>0</v>
      </c>
    </row>
    <row r="51" spans="5:9" x14ac:dyDescent="0.25">
      <c r="E51">
        <f t="shared" si="4"/>
        <v>41</v>
      </c>
      <c r="F51" s="39">
        <f t="shared" ca="1" si="5"/>
        <v>-27.491685767521332</v>
      </c>
      <c r="G51" s="42">
        <f t="shared" ca="1" si="6"/>
        <v>-768.25888725811865</v>
      </c>
      <c r="H51" s="42">
        <f t="shared" ca="1" si="7"/>
        <v>-796.25888725811865</v>
      </c>
      <c r="I51" s="42">
        <f t="shared" ca="1" si="8"/>
        <v>0</v>
      </c>
    </row>
    <row r="52" spans="5:9" x14ac:dyDescent="0.25">
      <c r="E52">
        <f t="shared" si="4"/>
        <v>42</v>
      </c>
      <c r="F52" s="39">
        <f t="shared" ca="1" si="5"/>
        <v>-12.961116624609367</v>
      </c>
      <c r="G52" s="42">
        <f t="shared" ca="1" si="6"/>
        <v>-346.87238211367168</v>
      </c>
      <c r="H52" s="42">
        <f t="shared" ca="1" si="7"/>
        <v>-374.87238211367168</v>
      </c>
      <c r="I52" s="42">
        <f t="shared" ca="1" si="8"/>
        <v>0</v>
      </c>
    </row>
    <row r="53" spans="5:9" x14ac:dyDescent="0.25">
      <c r="E53">
        <f t="shared" si="4"/>
        <v>43</v>
      </c>
      <c r="F53" s="39">
        <f t="shared" ca="1" si="5"/>
        <v>34.102668999180388</v>
      </c>
      <c r="G53" s="42">
        <f t="shared" ca="1" si="6"/>
        <v>1017.9774009762313</v>
      </c>
      <c r="H53" s="42">
        <f t="shared" ca="1" si="7"/>
        <v>989.97740097623125</v>
      </c>
      <c r="I53" s="42">
        <f t="shared" ca="1" si="8"/>
        <v>0</v>
      </c>
    </row>
    <row r="54" spans="5:9" x14ac:dyDescent="0.25">
      <c r="E54">
        <f t="shared" si="4"/>
        <v>44</v>
      </c>
      <c r="F54" s="39">
        <f t="shared" ca="1" si="5"/>
        <v>49.246032398349683</v>
      </c>
      <c r="G54" s="42">
        <f t="shared" ca="1" si="6"/>
        <v>1457.1349395521408</v>
      </c>
      <c r="H54" s="42">
        <f t="shared" ca="1" si="7"/>
        <v>1429.1349395521408</v>
      </c>
      <c r="I54" s="42">
        <f t="shared" ca="1" si="8"/>
        <v>0</v>
      </c>
    </row>
    <row r="55" spans="5:9" x14ac:dyDescent="0.25">
      <c r="E55">
        <f t="shared" si="4"/>
        <v>45</v>
      </c>
      <c r="F55" s="39">
        <f t="shared" ca="1" si="5"/>
        <v>6.658613504326258</v>
      </c>
      <c r="G55" s="42">
        <f t="shared" ca="1" si="6"/>
        <v>222.09979162546148</v>
      </c>
      <c r="H55" s="42">
        <f t="shared" ca="1" si="7"/>
        <v>194.09979162546148</v>
      </c>
      <c r="I55" s="42">
        <f t="shared" ca="1" si="8"/>
        <v>0</v>
      </c>
    </row>
    <row r="56" spans="5:9" x14ac:dyDescent="0.25">
      <c r="E56">
        <f t="shared" si="4"/>
        <v>46</v>
      </c>
      <c r="F56" s="39">
        <f t="shared" ca="1" si="5"/>
        <v>-13.719350942886031</v>
      </c>
      <c r="G56" s="42">
        <f t="shared" ca="1" si="6"/>
        <v>-368.86117734369492</v>
      </c>
      <c r="H56" s="42">
        <f t="shared" ca="1" si="7"/>
        <v>-396.86117734369492</v>
      </c>
      <c r="I56" s="42">
        <f t="shared" ca="1" si="8"/>
        <v>0</v>
      </c>
    </row>
    <row r="57" spans="5:9" x14ac:dyDescent="0.25">
      <c r="E57">
        <f t="shared" si="4"/>
        <v>47</v>
      </c>
      <c r="F57" s="39">
        <f t="shared" ca="1" si="5"/>
        <v>76.162119968902118</v>
      </c>
      <c r="G57" s="42">
        <f t="shared" ca="1" si="6"/>
        <v>2237.7014790981616</v>
      </c>
      <c r="H57" s="42">
        <f t="shared" ca="1" si="7"/>
        <v>2209.7014790981616</v>
      </c>
      <c r="I57" s="42">
        <f t="shared" ca="1" si="8"/>
        <v>0</v>
      </c>
    </row>
    <row r="58" spans="5:9" x14ac:dyDescent="0.25">
      <c r="E58">
        <f t="shared" si="4"/>
        <v>48</v>
      </c>
      <c r="F58" s="39">
        <f t="shared" ca="1" si="5"/>
        <v>-39.380585690471378</v>
      </c>
      <c r="G58" s="42">
        <f t="shared" ca="1" si="6"/>
        <v>-1113.03698502367</v>
      </c>
      <c r="H58" s="42">
        <f t="shared" ca="1" si="7"/>
        <v>-1141.03698502367</v>
      </c>
      <c r="I58" s="42">
        <f t="shared" ca="1" si="8"/>
        <v>0</v>
      </c>
    </row>
    <row r="59" spans="5:9" x14ac:dyDescent="0.25">
      <c r="E59">
        <f t="shared" si="4"/>
        <v>49</v>
      </c>
      <c r="F59" s="39">
        <f t="shared" ca="1" si="5"/>
        <v>-0.39085899116494716</v>
      </c>
      <c r="G59" s="42">
        <f t="shared" ca="1" si="6"/>
        <v>17.665089256216532</v>
      </c>
      <c r="H59" s="42">
        <f t="shared" ca="1" si="7"/>
        <v>-10.334910743783468</v>
      </c>
      <c r="I59" s="42">
        <f t="shared" ca="1" si="8"/>
        <v>0</v>
      </c>
    </row>
    <row r="60" spans="5:9" x14ac:dyDescent="0.25">
      <c r="E60">
        <f t="shared" si="4"/>
        <v>50</v>
      </c>
      <c r="F60" s="39">
        <f t="shared" ca="1" si="5"/>
        <v>3.082399357702954</v>
      </c>
      <c r="G60" s="42">
        <f t="shared" ca="1" si="6"/>
        <v>118.38958137338567</v>
      </c>
      <c r="H60" s="42">
        <f t="shared" ca="1" si="7"/>
        <v>90.389581373385667</v>
      </c>
      <c r="I60" s="42">
        <f t="shared" ca="1" si="8"/>
        <v>0</v>
      </c>
    </row>
    <row r="61" spans="5:9" x14ac:dyDescent="0.25">
      <c r="E61">
        <f t="shared" si="4"/>
        <v>51</v>
      </c>
      <c r="F61" s="39">
        <f t="shared" ca="1" si="5"/>
        <v>34.876891722515452</v>
      </c>
      <c r="G61" s="42">
        <f t="shared" ca="1" si="6"/>
        <v>1040.4298599529482</v>
      </c>
      <c r="H61" s="42">
        <f t="shared" ca="1" si="7"/>
        <v>1012.4298599529482</v>
      </c>
      <c r="I61" s="42">
        <f t="shared" ca="1" si="8"/>
        <v>0</v>
      </c>
    </row>
    <row r="62" spans="5:9" x14ac:dyDescent="0.25">
      <c r="E62">
        <f t="shared" si="4"/>
        <v>52</v>
      </c>
      <c r="F62" s="39">
        <f t="shared" ca="1" si="5"/>
        <v>54.399388877155189</v>
      </c>
      <c r="G62" s="42">
        <f t="shared" ca="1" si="6"/>
        <v>1606.5822774375006</v>
      </c>
      <c r="H62" s="42">
        <f t="shared" ca="1" si="7"/>
        <v>1578.5822774375006</v>
      </c>
      <c r="I62" s="42">
        <f t="shared" ca="1" si="8"/>
        <v>0</v>
      </c>
    </row>
    <row r="63" spans="5:9" x14ac:dyDescent="0.25">
      <c r="E63">
        <f t="shared" si="4"/>
        <v>53</v>
      </c>
      <c r="F63" s="39">
        <f t="shared" ca="1" si="5"/>
        <v>57.873248831475422</v>
      </c>
      <c r="G63" s="42">
        <f t="shared" ca="1" si="6"/>
        <v>1707.3242161127873</v>
      </c>
      <c r="H63" s="42">
        <f t="shared" ca="1" si="7"/>
        <v>1679.3242161127873</v>
      </c>
      <c r="I63" s="42">
        <f t="shared" ca="1" si="8"/>
        <v>0</v>
      </c>
    </row>
    <row r="64" spans="5:9" x14ac:dyDescent="0.25">
      <c r="E64">
        <f t="shared" si="4"/>
        <v>54</v>
      </c>
      <c r="F64" s="39">
        <f t="shared" ca="1" si="5"/>
        <v>16.319397663160895</v>
      </c>
      <c r="G64" s="42">
        <f t="shared" ca="1" si="6"/>
        <v>502.26253223166594</v>
      </c>
      <c r="H64" s="42">
        <f t="shared" ca="1" si="7"/>
        <v>474.26253223166594</v>
      </c>
      <c r="I64" s="42">
        <f t="shared" ca="1" si="8"/>
        <v>0</v>
      </c>
    </row>
    <row r="65" spans="5:9" x14ac:dyDescent="0.25">
      <c r="E65">
        <f t="shared" si="4"/>
        <v>55</v>
      </c>
      <c r="F65" s="39">
        <f t="shared" ca="1" si="5"/>
        <v>23.753313595835174</v>
      </c>
      <c r="G65" s="42">
        <f t="shared" ca="1" si="6"/>
        <v>717.84609427921998</v>
      </c>
      <c r="H65" s="42">
        <f t="shared" ca="1" si="7"/>
        <v>689.84609427921998</v>
      </c>
      <c r="I65" s="42">
        <f t="shared" ca="1" si="8"/>
        <v>0</v>
      </c>
    </row>
    <row r="66" spans="5:9" x14ac:dyDescent="0.25">
      <c r="E66">
        <f t="shared" si="4"/>
        <v>56</v>
      </c>
      <c r="F66" s="39">
        <f t="shared" ca="1" si="5"/>
        <v>76.327133507509416</v>
      </c>
      <c r="G66" s="42">
        <f t="shared" ca="1" si="6"/>
        <v>2242.4868717177733</v>
      </c>
      <c r="H66" s="42">
        <f t="shared" ca="1" si="7"/>
        <v>2214.4868717177733</v>
      </c>
      <c r="I66" s="42">
        <f t="shared" ca="1" si="8"/>
        <v>0</v>
      </c>
    </row>
    <row r="67" spans="5:9" x14ac:dyDescent="0.25">
      <c r="E67">
        <f t="shared" si="4"/>
        <v>57</v>
      </c>
      <c r="F67" s="39">
        <f t="shared" ca="1" si="5"/>
        <v>-5.2855033398340936</v>
      </c>
      <c r="G67" s="42">
        <f t="shared" ca="1" si="6"/>
        <v>-124.27959685518871</v>
      </c>
      <c r="H67" s="42">
        <f t="shared" ca="1" si="7"/>
        <v>-152.27959685518871</v>
      </c>
      <c r="I67" s="42">
        <f t="shared" ca="1" si="8"/>
        <v>0</v>
      </c>
    </row>
    <row r="68" spans="5:9" x14ac:dyDescent="0.25">
      <c r="E68">
        <f t="shared" si="4"/>
        <v>58</v>
      </c>
      <c r="F68" s="39">
        <f t="shared" ca="1" si="5"/>
        <v>-13.532923398003923</v>
      </c>
      <c r="G68" s="42">
        <f t="shared" ca="1" si="6"/>
        <v>-363.45477854211379</v>
      </c>
      <c r="H68" s="42">
        <f t="shared" ca="1" si="7"/>
        <v>-391.45477854211379</v>
      </c>
      <c r="I68" s="42">
        <f t="shared" ca="1" si="8"/>
        <v>0</v>
      </c>
    </row>
    <row r="69" spans="5:9" x14ac:dyDescent="0.25">
      <c r="E69">
        <f t="shared" si="4"/>
        <v>59</v>
      </c>
      <c r="F69" s="39">
        <f t="shared" ca="1" si="5"/>
        <v>-8.5832385850659989</v>
      </c>
      <c r="G69" s="42">
        <f t="shared" ca="1" si="6"/>
        <v>-219.91391896691397</v>
      </c>
      <c r="H69" s="42">
        <f t="shared" ca="1" si="7"/>
        <v>-247.91391896691397</v>
      </c>
      <c r="I69" s="42">
        <f t="shared" ca="1" si="8"/>
        <v>0</v>
      </c>
    </row>
    <row r="70" spans="5:9" x14ac:dyDescent="0.25">
      <c r="E70">
        <f t="shared" si="4"/>
        <v>60</v>
      </c>
      <c r="F70" s="39">
        <f t="shared" ca="1" si="5"/>
        <v>10.184047173839318</v>
      </c>
      <c r="G70" s="42">
        <f t="shared" ca="1" si="6"/>
        <v>324.3373680413402</v>
      </c>
      <c r="H70" s="42">
        <f t="shared" ca="1" si="7"/>
        <v>296.3373680413402</v>
      </c>
      <c r="I70" s="42">
        <f t="shared" ca="1" si="8"/>
        <v>0</v>
      </c>
    </row>
    <row r="71" spans="5:9" x14ac:dyDescent="0.25">
      <c r="E71">
        <f t="shared" si="4"/>
        <v>61</v>
      </c>
      <c r="F71" s="39">
        <f t="shared" ca="1" si="5"/>
        <v>-18.28637977620275</v>
      </c>
      <c r="G71" s="42">
        <f t="shared" ca="1" si="6"/>
        <v>-501.30501350987976</v>
      </c>
      <c r="H71" s="42">
        <f t="shared" ca="1" si="7"/>
        <v>-529.3050135098797</v>
      </c>
      <c r="I71" s="42">
        <f t="shared" ca="1" si="8"/>
        <v>0</v>
      </c>
    </row>
    <row r="72" spans="5:9" x14ac:dyDescent="0.25">
      <c r="E72">
        <f t="shared" si="4"/>
        <v>62</v>
      </c>
      <c r="F72" s="39">
        <f t="shared" ca="1" si="5"/>
        <v>32.632903868847002</v>
      </c>
      <c r="G72" s="42">
        <f t="shared" ca="1" si="6"/>
        <v>975.35421219656303</v>
      </c>
      <c r="H72" s="42">
        <f t="shared" ca="1" si="7"/>
        <v>947.35421219656303</v>
      </c>
      <c r="I72" s="42">
        <f t="shared" ca="1" si="8"/>
        <v>0</v>
      </c>
    </row>
    <row r="73" spans="5:9" x14ac:dyDescent="0.25">
      <c r="E73">
        <f t="shared" si="4"/>
        <v>63</v>
      </c>
      <c r="F73" s="39">
        <f t="shared" ca="1" si="5"/>
        <v>-30.261656428127537</v>
      </c>
      <c r="G73" s="42">
        <f t="shared" ca="1" si="6"/>
        <v>-848.58803641569853</v>
      </c>
      <c r="H73" s="42">
        <f t="shared" ca="1" si="7"/>
        <v>-876.58803641569853</v>
      </c>
      <c r="I73" s="42">
        <f t="shared" ca="1" si="8"/>
        <v>0</v>
      </c>
    </row>
    <row r="74" spans="5:9" x14ac:dyDescent="0.25">
      <c r="E74">
        <f t="shared" si="4"/>
        <v>64</v>
      </c>
      <c r="F74" s="39">
        <f t="shared" ca="1" si="5"/>
        <v>40.455046428795583</v>
      </c>
      <c r="G74" s="42">
        <f t="shared" ca="1" si="6"/>
        <v>1202.196346435072</v>
      </c>
      <c r="H74" s="42">
        <f t="shared" ca="1" si="7"/>
        <v>1174.196346435072</v>
      </c>
      <c r="I74" s="42">
        <f t="shared" ca="1" si="8"/>
        <v>0</v>
      </c>
    </row>
    <row r="75" spans="5:9" x14ac:dyDescent="0.25">
      <c r="E75">
        <f t="shared" si="4"/>
        <v>65</v>
      </c>
      <c r="F75" s="39">
        <f t="shared" ca="1" si="5"/>
        <v>37.048549196956401</v>
      </c>
      <c r="G75" s="42">
        <f t="shared" ref="G75" ca="1" si="9">$E$39*(1+F75)</f>
        <v>1103.4079267117356</v>
      </c>
      <c r="H75" s="42">
        <f t="shared" ca="1" si="7"/>
        <v>1075.4079267117356</v>
      </c>
      <c r="I75" s="42">
        <f t="shared" ca="1" si="8"/>
        <v>0</v>
      </c>
    </row>
    <row r="76" spans="5:9" x14ac:dyDescent="0.25">
      <c r="E76">
        <f t="shared" si="4"/>
        <v>66</v>
      </c>
      <c r="F76" s="39">
        <f t="shared" ref="F76:F139" ca="1" si="10">_xlfn.NORM.INV(RAND(),$E$45,$E$46)</f>
        <v>27.239841865019052</v>
      </c>
      <c r="G76" s="42">
        <f t="shared" ref="G76:G139" ca="1" si="11">$E$39*(1+F76)</f>
        <v>818.95541408555255</v>
      </c>
      <c r="H76" s="42">
        <f t="shared" ref="H76:H139" ca="1" si="12">MAX(G76-$E$38)</f>
        <v>790.95541408555255</v>
      </c>
      <c r="I76" s="42">
        <f t="shared" ref="I76:I139" ca="1" si="13">MAX($E$38-$H$43,0)</f>
        <v>0</v>
      </c>
    </row>
    <row r="77" spans="5:9" x14ac:dyDescent="0.25">
      <c r="E77">
        <f t="shared" ref="E77:E140" si="14">E76+1</f>
        <v>67</v>
      </c>
      <c r="F77" s="39">
        <f t="shared" ca="1" si="10"/>
        <v>53.393864713856161</v>
      </c>
      <c r="G77" s="42">
        <f t="shared" ca="1" si="11"/>
        <v>1577.4220767018287</v>
      </c>
      <c r="H77" s="42">
        <f t="shared" ca="1" si="12"/>
        <v>1549.4220767018287</v>
      </c>
      <c r="I77" s="42">
        <f t="shared" ca="1" si="13"/>
        <v>0</v>
      </c>
    </row>
    <row r="78" spans="5:9" x14ac:dyDescent="0.25">
      <c r="E78">
        <f t="shared" si="14"/>
        <v>68</v>
      </c>
      <c r="F78" s="39">
        <f t="shared" ca="1" si="10"/>
        <v>89.718392285455138</v>
      </c>
      <c r="G78" s="42">
        <f t="shared" ca="1" si="11"/>
        <v>2630.833376278199</v>
      </c>
      <c r="H78" s="42">
        <f t="shared" ca="1" si="12"/>
        <v>2602.833376278199</v>
      </c>
      <c r="I78" s="42">
        <f t="shared" ca="1" si="13"/>
        <v>0</v>
      </c>
    </row>
    <row r="79" spans="5:9" x14ac:dyDescent="0.25">
      <c r="E79">
        <f t="shared" si="14"/>
        <v>69</v>
      </c>
      <c r="F79" s="39">
        <f t="shared" ca="1" si="10"/>
        <v>18.647489648388856</v>
      </c>
      <c r="G79" s="42">
        <f t="shared" ca="1" si="11"/>
        <v>569.77719980327686</v>
      </c>
      <c r="H79" s="42">
        <f t="shared" ca="1" si="12"/>
        <v>541.77719980327686</v>
      </c>
      <c r="I79" s="42">
        <f t="shared" ca="1" si="13"/>
        <v>0</v>
      </c>
    </row>
    <row r="80" spans="5:9" x14ac:dyDescent="0.25">
      <c r="E80">
        <f t="shared" si="14"/>
        <v>70</v>
      </c>
      <c r="F80" s="39">
        <f t="shared" ca="1" si="10"/>
        <v>52.371771033188182</v>
      </c>
      <c r="G80" s="42">
        <f t="shared" ca="1" si="11"/>
        <v>1547.7813599624574</v>
      </c>
      <c r="H80" s="42">
        <f t="shared" ca="1" si="12"/>
        <v>1519.7813599624574</v>
      </c>
      <c r="I80" s="42">
        <f t="shared" ca="1" si="13"/>
        <v>0</v>
      </c>
    </row>
    <row r="81" spans="5:9" x14ac:dyDescent="0.25">
      <c r="E81">
        <f t="shared" si="14"/>
        <v>71</v>
      </c>
      <c r="F81" s="39">
        <f t="shared" ca="1" si="10"/>
        <v>95.153677498077414</v>
      </c>
      <c r="G81" s="42">
        <f t="shared" ca="1" si="11"/>
        <v>2788.4566474442449</v>
      </c>
      <c r="H81" s="42">
        <f t="shared" ca="1" si="12"/>
        <v>2760.4566474442449</v>
      </c>
      <c r="I81" s="42">
        <f t="shared" ca="1" si="13"/>
        <v>0</v>
      </c>
    </row>
    <row r="82" spans="5:9" x14ac:dyDescent="0.25">
      <c r="E82">
        <f t="shared" si="14"/>
        <v>72</v>
      </c>
      <c r="F82" s="39">
        <f t="shared" ca="1" si="10"/>
        <v>76.735600688018096</v>
      </c>
      <c r="G82" s="42">
        <f t="shared" ca="1" si="11"/>
        <v>2254.3324199525246</v>
      </c>
      <c r="H82" s="42">
        <f t="shared" ca="1" si="12"/>
        <v>2226.3324199525246</v>
      </c>
      <c r="I82" s="42">
        <f t="shared" ca="1" si="13"/>
        <v>0</v>
      </c>
    </row>
    <row r="83" spans="5:9" x14ac:dyDescent="0.25">
      <c r="E83">
        <f t="shared" si="14"/>
        <v>73</v>
      </c>
      <c r="F83" s="39">
        <f t="shared" ca="1" si="10"/>
        <v>21.887485468801856</v>
      </c>
      <c r="G83" s="42">
        <f t="shared" ca="1" si="11"/>
        <v>663.73707859525382</v>
      </c>
      <c r="H83" s="42">
        <f t="shared" ca="1" si="12"/>
        <v>635.73707859525382</v>
      </c>
      <c r="I83" s="42">
        <f t="shared" ca="1" si="13"/>
        <v>0</v>
      </c>
    </row>
    <row r="84" spans="5:9" x14ac:dyDescent="0.25">
      <c r="E84">
        <f t="shared" si="14"/>
        <v>74</v>
      </c>
      <c r="F84" s="39">
        <f t="shared" ca="1" si="10"/>
        <v>51.210919020660555</v>
      </c>
      <c r="G84" s="42">
        <f t="shared" ca="1" si="11"/>
        <v>1514.1166515991561</v>
      </c>
      <c r="H84" s="42">
        <f t="shared" ca="1" si="12"/>
        <v>1486.1166515991561</v>
      </c>
      <c r="I84" s="42">
        <f t="shared" ca="1" si="13"/>
        <v>0</v>
      </c>
    </row>
    <row r="85" spans="5:9" x14ac:dyDescent="0.25">
      <c r="E85">
        <f t="shared" si="14"/>
        <v>75</v>
      </c>
      <c r="F85" s="39">
        <f t="shared" ca="1" si="10"/>
        <v>116.64909059152211</v>
      </c>
      <c r="G85" s="42">
        <f t="shared" ca="1" si="11"/>
        <v>3411.8236271541414</v>
      </c>
      <c r="H85" s="42">
        <f t="shared" ca="1" si="12"/>
        <v>3383.8236271541414</v>
      </c>
      <c r="I85" s="42">
        <f t="shared" ca="1" si="13"/>
        <v>0</v>
      </c>
    </row>
    <row r="86" spans="5:9" x14ac:dyDescent="0.25">
      <c r="E86">
        <f t="shared" si="14"/>
        <v>76</v>
      </c>
      <c r="F86" s="39">
        <f t="shared" ca="1" si="10"/>
        <v>59.618641125894918</v>
      </c>
      <c r="G86" s="42">
        <f t="shared" ca="1" si="11"/>
        <v>1757.9405926509526</v>
      </c>
      <c r="H86" s="42">
        <f t="shared" ca="1" si="12"/>
        <v>1729.9405926509526</v>
      </c>
      <c r="I86" s="42">
        <f t="shared" ca="1" si="13"/>
        <v>0</v>
      </c>
    </row>
    <row r="87" spans="5:9" x14ac:dyDescent="0.25">
      <c r="E87">
        <f t="shared" si="14"/>
        <v>77</v>
      </c>
      <c r="F87" s="39">
        <f t="shared" ca="1" si="10"/>
        <v>-14.90323327126314</v>
      </c>
      <c r="G87" s="42">
        <f t="shared" ca="1" si="11"/>
        <v>-403.19376486663106</v>
      </c>
      <c r="H87" s="42">
        <f t="shared" ca="1" si="12"/>
        <v>-431.19376486663106</v>
      </c>
      <c r="I87" s="42">
        <f t="shared" ca="1" si="13"/>
        <v>0</v>
      </c>
    </row>
    <row r="88" spans="5:9" x14ac:dyDescent="0.25">
      <c r="E88">
        <f t="shared" si="14"/>
        <v>78</v>
      </c>
      <c r="F88" s="39">
        <f t="shared" ca="1" si="10"/>
        <v>2.5866357560475848</v>
      </c>
      <c r="G88" s="42">
        <f t="shared" ca="1" si="11"/>
        <v>104.01243692537996</v>
      </c>
      <c r="H88" s="42">
        <f t="shared" ca="1" si="12"/>
        <v>76.012436925379959</v>
      </c>
      <c r="I88" s="42">
        <f t="shared" ca="1" si="13"/>
        <v>0</v>
      </c>
    </row>
    <row r="89" spans="5:9" x14ac:dyDescent="0.25">
      <c r="E89">
        <f t="shared" si="14"/>
        <v>79</v>
      </c>
      <c r="F89" s="39">
        <f t="shared" ca="1" si="10"/>
        <v>0.18207756785761831</v>
      </c>
      <c r="G89" s="42">
        <f t="shared" ca="1" si="11"/>
        <v>34.280249467870931</v>
      </c>
      <c r="H89" s="42">
        <f t="shared" ca="1" si="12"/>
        <v>6.2802494678709309</v>
      </c>
      <c r="I89" s="42">
        <f t="shared" ca="1" si="13"/>
        <v>0</v>
      </c>
    </row>
    <row r="90" spans="5:9" x14ac:dyDescent="0.25">
      <c r="E90">
        <f t="shared" si="14"/>
        <v>80</v>
      </c>
      <c r="F90" s="39">
        <f t="shared" ca="1" si="10"/>
        <v>-50.398482540307938</v>
      </c>
      <c r="G90" s="42">
        <f t="shared" ca="1" si="11"/>
        <v>-1432.5559936689301</v>
      </c>
      <c r="H90" s="42">
        <f t="shared" ca="1" si="12"/>
        <v>-1460.5559936689301</v>
      </c>
      <c r="I90" s="42">
        <f t="shared" ca="1" si="13"/>
        <v>0</v>
      </c>
    </row>
    <row r="91" spans="5:9" x14ac:dyDescent="0.25">
      <c r="E91">
        <f t="shared" si="14"/>
        <v>81</v>
      </c>
      <c r="F91" s="39">
        <f t="shared" ca="1" si="10"/>
        <v>16.578483517107173</v>
      </c>
      <c r="G91" s="42">
        <f t="shared" ca="1" si="11"/>
        <v>509.77602199610806</v>
      </c>
      <c r="H91" s="42">
        <f t="shared" ca="1" si="12"/>
        <v>481.77602199610806</v>
      </c>
      <c r="I91" s="42">
        <f t="shared" ca="1" si="13"/>
        <v>0</v>
      </c>
    </row>
    <row r="92" spans="5:9" x14ac:dyDescent="0.25">
      <c r="E92">
        <f t="shared" si="14"/>
        <v>82</v>
      </c>
      <c r="F92" s="39">
        <f t="shared" ca="1" si="10"/>
        <v>30.376497226010017</v>
      </c>
      <c r="G92" s="42">
        <f t="shared" ca="1" si="11"/>
        <v>909.91841955429049</v>
      </c>
      <c r="H92" s="42">
        <f t="shared" ca="1" si="12"/>
        <v>881.91841955429049</v>
      </c>
      <c r="I92" s="42">
        <f t="shared" ca="1" si="13"/>
        <v>0</v>
      </c>
    </row>
    <row r="93" spans="5:9" x14ac:dyDescent="0.25">
      <c r="E93">
        <f t="shared" si="14"/>
        <v>83</v>
      </c>
      <c r="F93" s="39">
        <f t="shared" ca="1" si="10"/>
        <v>-12.341324216660546</v>
      </c>
      <c r="G93" s="42">
        <f t="shared" ca="1" si="11"/>
        <v>-328.8984022831558</v>
      </c>
      <c r="H93" s="42">
        <f t="shared" ca="1" si="12"/>
        <v>-356.8984022831558</v>
      </c>
      <c r="I93" s="42">
        <f t="shared" ca="1" si="13"/>
        <v>0</v>
      </c>
    </row>
    <row r="94" spans="5:9" x14ac:dyDescent="0.25">
      <c r="E94">
        <f t="shared" si="14"/>
        <v>84</v>
      </c>
      <c r="F94" s="39">
        <f t="shared" ca="1" si="10"/>
        <v>23.259619340167561</v>
      </c>
      <c r="G94" s="42">
        <f t="shared" ca="1" si="11"/>
        <v>703.5289608648593</v>
      </c>
      <c r="H94" s="42">
        <f t="shared" ca="1" si="12"/>
        <v>675.5289608648593</v>
      </c>
      <c r="I94" s="42">
        <f t="shared" ca="1" si="13"/>
        <v>0</v>
      </c>
    </row>
    <row r="95" spans="5:9" x14ac:dyDescent="0.25">
      <c r="E95">
        <f t="shared" si="14"/>
        <v>85</v>
      </c>
      <c r="F95" s="39">
        <f t="shared" ca="1" si="10"/>
        <v>7.2310751815195893</v>
      </c>
      <c r="G95" s="42">
        <f t="shared" ca="1" si="11"/>
        <v>238.70118026406809</v>
      </c>
      <c r="H95" s="42">
        <f t="shared" ca="1" si="12"/>
        <v>210.70118026406809</v>
      </c>
      <c r="I95" s="42">
        <f t="shared" ca="1" si="13"/>
        <v>0</v>
      </c>
    </row>
    <row r="96" spans="5:9" x14ac:dyDescent="0.25">
      <c r="E96">
        <f t="shared" si="14"/>
        <v>86</v>
      </c>
      <c r="F96" s="39">
        <f t="shared" ca="1" si="10"/>
        <v>9.9789706063678736</v>
      </c>
      <c r="G96" s="42">
        <f t="shared" ca="1" si="11"/>
        <v>318.39014758466834</v>
      </c>
      <c r="H96" s="42">
        <f t="shared" ca="1" si="12"/>
        <v>290.39014758466834</v>
      </c>
      <c r="I96" s="42">
        <f t="shared" ca="1" si="13"/>
        <v>0</v>
      </c>
    </row>
    <row r="97" spans="5:9" x14ac:dyDescent="0.25">
      <c r="E97">
        <f t="shared" si="14"/>
        <v>87</v>
      </c>
      <c r="F97" s="39">
        <f t="shared" ca="1" si="10"/>
        <v>64.225875038494763</v>
      </c>
      <c r="G97" s="42">
        <f t="shared" ca="1" si="11"/>
        <v>1891.5503761163482</v>
      </c>
      <c r="H97" s="42">
        <f t="shared" ca="1" si="12"/>
        <v>1863.5503761163482</v>
      </c>
      <c r="I97" s="42">
        <f t="shared" ca="1" si="13"/>
        <v>0</v>
      </c>
    </row>
    <row r="98" spans="5:9" x14ac:dyDescent="0.25">
      <c r="E98">
        <f t="shared" si="14"/>
        <v>88</v>
      </c>
      <c r="F98" s="39">
        <f t="shared" ca="1" si="10"/>
        <v>26.322568797922614</v>
      </c>
      <c r="G98" s="42">
        <f t="shared" ca="1" si="11"/>
        <v>792.35449513975584</v>
      </c>
      <c r="H98" s="42">
        <f t="shared" ca="1" si="12"/>
        <v>764.35449513975584</v>
      </c>
      <c r="I98" s="42">
        <f t="shared" ca="1" si="13"/>
        <v>0</v>
      </c>
    </row>
    <row r="99" spans="5:9" x14ac:dyDescent="0.25">
      <c r="E99">
        <f t="shared" si="14"/>
        <v>89</v>
      </c>
      <c r="F99" s="39">
        <f t="shared" ca="1" si="10"/>
        <v>74.322121378283271</v>
      </c>
      <c r="G99" s="42">
        <f t="shared" ca="1" si="11"/>
        <v>2184.3415199702149</v>
      </c>
      <c r="H99" s="42">
        <f t="shared" ca="1" si="12"/>
        <v>2156.3415199702149</v>
      </c>
      <c r="I99" s="42">
        <f t="shared" ca="1" si="13"/>
        <v>0</v>
      </c>
    </row>
    <row r="100" spans="5:9" x14ac:dyDescent="0.25">
      <c r="E100">
        <f t="shared" si="14"/>
        <v>90</v>
      </c>
      <c r="F100" s="39">
        <f t="shared" ca="1" si="10"/>
        <v>13.505731652668331</v>
      </c>
      <c r="G100" s="42">
        <f t="shared" ca="1" si="11"/>
        <v>420.66621792738158</v>
      </c>
      <c r="H100" s="42">
        <f t="shared" ca="1" si="12"/>
        <v>392.66621792738158</v>
      </c>
      <c r="I100" s="42">
        <f t="shared" ca="1" si="13"/>
        <v>0</v>
      </c>
    </row>
    <row r="101" spans="5:9" x14ac:dyDescent="0.25">
      <c r="E101">
        <f t="shared" si="14"/>
        <v>91</v>
      </c>
      <c r="F101" s="39">
        <f t="shared" ca="1" si="10"/>
        <v>48.358985340551499</v>
      </c>
      <c r="G101" s="42">
        <f t="shared" ca="1" si="11"/>
        <v>1431.4105748759935</v>
      </c>
      <c r="H101" s="42">
        <f t="shared" ca="1" si="12"/>
        <v>1403.4105748759935</v>
      </c>
      <c r="I101" s="42">
        <f t="shared" ca="1" si="13"/>
        <v>0</v>
      </c>
    </row>
    <row r="102" spans="5:9" x14ac:dyDescent="0.25">
      <c r="E102">
        <f t="shared" si="14"/>
        <v>92</v>
      </c>
      <c r="F102" s="39">
        <f t="shared" ca="1" si="10"/>
        <v>13.852225288502002</v>
      </c>
      <c r="G102" s="42">
        <f t="shared" ca="1" si="11"/>
        <v>430.71453336655804</v>
      </c>
      <c r="H102" s="42">
        <f t="shared" ca="1" si="12"/>
        <v>402.71453336655804</v>
      </c>
      <c r="I102" s="42">
        <f t="shared" ca="1" si="13"/>
        <v>0</v>
      </c>
    </row>
    <row r="103" spans="5:9" x14ac:dyDescent="0.25">
      <c r="E103">
        <f t="shared" si="14"/>
        <v>93</v>
      </c>
      <c r="F103" s="39">
        <f t="shared" ca="1" si="10"/>
        <v>18.350546836984488</v>
      </c>
      <c r="G103" s="42">
        <f t="shared" ca="1" si="11"/>
        <v>561.16585827255017</v>
      </c>
      <c r="H103" s="42">
        <f t="shared" ca="1" si="12"/>
        <v>533.16585827255017</v>
      </c>
      <c r="I103" s="42">
        <f t="shared" ca="1" si="13"/>
        <v>0</v>
      </c>
    </row>
    <row r="104" spans="5:9" x14ac:dyDescent="0.25">
      <c r="E104">
        <f t="shared" si="14"/>
        <v>94</v>
      </c>
      <c r="F104" s="39">
        <f t="shared" ca="1" si="10"/>
        <v>80.760324555608932</v>
      </c>
      <c r="G104" s="42">
        <f t="shared" ca="1" si="11"/>
        <v>2371.049412112659</v>
      </c>
      <c r="H104" s="42">
        <f t="shared" ca="1" si="12"/>
        <v>2343.049412112659</v>
      </c>
      <c r="I104" s="42">
        <f t="shared" ca="1" si="13"/>
        <v>0</v>
      </c>
    </row>
    <row r="105" spans="5:9" x14ac:dyDescent="0.25">
      <c r="E105">
        <f t="shared" si="14"/>
        <v>95</v>
      </c>
      <c r="F105" s="39">
        <f t="shared" ca="1" si="10"/>
        <v>13.070697773703895</v>
      </c>
      <c r="G105" s="42">
        <f t="shared" ca="1" si="11"/>
        <v>408.05023543741294</v>
      </c>
      <c r="H105" s="42">
        <f t="shared" ca="1" si="12"/>
        <v>380.05023543741294</v>
      </c>
      <c r="I105" s="42">
        <f t="shared" ca="1" si="13"/>
        <v>0</v>
      </c>
    </row>
    <row r="106" spans="5:9" x14ac:dyDescent="0.25">
      <c r="E106">
        <f t="shared" si="14"/>
        <v>96</v>
      </c>
      <c r="F106" s="39">
        <f t="shared" ca="1" si="10"/>
        <v>18.150799986481459</v>
      </c>
      <c r="G106" s="42">
        <f t="shared" ca="1" si="11"/>
        <v>555.37319960796231</v>
      </c>
      <c r="H106" s="42">
        <f t="shared" ca="1" si="12"/>
        <v>527.37319960796231</v>
      </c>
      <c r="I106" s="42">
        <f t="shared" ca="1" si="13"/>
        <v>0</v>
      </c>
    </row>
    <row r="107" spans="5:9" x14ac:dyDescent="0.25">
      <c r="E107">
        <f t="shared" si="14"/>
        <v>97</v>
      </c>
      <c r="F107" s="39">
        <f t="shared" ca="1" si="10"/>
        <v>39.673310735592992</v>
      </c>
      <c r="G107" s="42">
        <f t="shared" ca="1" si="11"/>
        <v>1179.5260113321967</v>
      </c>
      <c r="H107" s="42">
        <f t="shared" ca="1" si="12"/>
        <v>1151.5260113321967</v>
      </c>
      <c r="I107" s="42">
        <f t="shared" ca="1" si="13"/>
        <v>0</v>
      </c>
    </row>
    <row r="108" spans="5:9" x14ac:dyDescent="0.25">
      <c r="E108">
        <f t="shared" si="14"/>
        <v>98</v>
      </c>
      <c r="F108" s="39">
        <f t="shared" ca="1" si="10"/>
        <v>31.2244713534817</v>
      </c>
      <c r="G108" s="42">
        <f t="shared" ca="1" si="11"/>
        <v>934.50966925096941</v>
      </c>
      <c r="H108" s="42">
        <f t="shared" ca="1" si="12"/>
        <v>906.50966925096941</v>
      </c>
      <c r="I108" s="42">
        <f t="shared" ca="1" si="13"/>
        <v>0</v>
      </c>
    </row>
    <row r="109" spans="5:9" x14ac:dyDescent="0.25">
      <c r="E109">
        <f t="shared" si="14"/>
        <v>99</v>
      </c>
      <c r="F109" s="39">
        <f t="shared" ca="1" si="10"/>
        <v>-23.951970343433537</v>
      </c>
      <c r="G109" s="42">
        <f t="shared" ca="1" si="11"/>
        <v>-665.60713995957258</v>
      </c>
      <c r="H109" s="42">
        <f t="shared" ca="1" si="12"/>
        <v>-693.60713995957258</v>
      </c>
      <c r="I109" s="42">
        <f t="shared" ca="1" si="13"/>
        <v>0</v>
      </c>
    </row>
    <row r="110" spans="5:9" x14ac:dyDescent="0.25">
      <c r="E110">
        <f t="shared" si="14"/>
        <v>100</v>
      </c>
      <c r="F110" s="39">
        <f t="shared" ca="1" si="10"/>
        <v>32.571711852713122</v>
      </c>
      <c r="G110" s="42">
        <f t="shared" ca="1" si="11"/>
        <v>973.57964372868059</v>
      </c>
      <c r="H110" s="42">
        <f t="shared" ca="1" si="12"/>
        <v>945.57964372868059</v>
      </c>
      <c r="I110" s="42">
        <f t="shared" ca="1" si="13"/>
        <v>0</v>
      </c>
    </row>
    <row r="111" spans="5:9" x14ac:dyDescent="0.25">
      <c r="E111">
        <f t="shared" si="14"/>
        <v>101</v>
      </c>
      <c r="F111" s="39">
        <f t="shared" ca="1" si="10"/>
        <v>38.256124100006829</v>
      </c>
      <c r="G111" s="42">
        <f t="shared" ca="1" si="11"/>
        <v>1138.4275989001981</v>
      </c>
      <c r="H111" s="42">
        <f t="shared" ca="1" si="12"/>
        <v>1110.4275989001981</v>
      </c>
      <c r="I111" s="42">
        <f t="shared" ca="1" si="13"/>
        <v>0</v>
      </c>
    </row>
    <row r="112" spans="5:9" x14ac:dyDescent="0.25">
      <c r="E112">
        <f t="shared" si="14"/>
        <v>102</v>
      </c>
      <c r="F112" s="39">
        <f t="shared" ca="1" si="10"/>
        <v>11.076077292467605</v>
      </c>
      <c r="G112" s="42">
        <f t="shared" ca="1" si="11"/>
        <v>350.20624148156054</v>
      </c>
      <c r="H112" s="42">
        <f t="shared" ca="1" si="12"/>
        <v>322.20624148156054</v>
      </c>
      <c r="I112" s="42">
        <f t="shared" ca="1" si="13"/>
        <v>0</v>
      </c>
    </row>
    <row r="113" spans="5:9" x14ac:dyDescent="0.25">
      <c r="E113">
        <f t="shared" si="14"/>
        <v>103</v>
      </c>
      <c r="F113" s="39">
        <f t="shared" ca="1" si="10"/>
        <v>22.469107489365356</v>
      </c>
      <c r="G113" s="42">
        <f t="shared" ca="1" si="11"/>
        <v>680.60411719159538</v>
      </c>
      <c r="H113" s="42">
        <f t="shared" ca="1" si="12"/>
        <v>652.60411719159538</v>
      </c>
      <c r="I113" s="42">
        <f t="shared" ca="1" si="13"/>
        <v>0</v>
      </c>
    </row>
    <row r="114" spans="5:9" x14ac:dyDescent="0.25">
      <c r="E114">
        <f t="shared" si="14"/>
        <v>104</v>
      </c>
      <c r="F114" s="39">
        <f t="shared" ca="1" si="10"/>
        <v>9.28207223221699</v>
      </c>
      <c r="G114" s="42">
        <f t="shared" ca="1" si="11"/>
        <v>298.18009473429271</v>
      </c>
      <c r="H114" s="42">
        <f t="shared" ca="1" si="12"/>
        <v>270.18009473429271</v>
      </c>
      <c r="I114" s="42">
        <f t="shared" ca="1" si="13"/>
        <v>0</v>
      </c>
    </row>
    <row r="115" spans="5:9" x14ac:dyDescent="0.25">
      <c r="E115">
        <f t="shared" si="14"/>
        <v>105</v>
      </c>
      <c r="F115" s="39">
        <f t="shared" ca="1" si="10"/>
        <v>45.493395718912545</v>
      </c>
      <c r="G115" s="42">
        <f t="shared" ca="1" si="11"/>
        <v>1348.3084758484638</v>
      </c>
      <c r="H115" s="42">
        <f t="shared" ca="1" si="12"/>
        <v>1320.3084758484638</v>
      </c>
      <c r="I115" s="42">
        <f t="shared" ca="1" si="13"/>
        <v>0</v>
      </c>
    </row>
    <row r="116" spans="5:9" x14ac:dyDescent="0.25">
      <c r="E116">
        <f t="shared" si="14"/>
        <v>106</v>
      </c>
      <c r="F116" s="39">
        <f t="shared" ca="1" si="10"/>
        <v>62.651382147672436</v>
      </c>
      <c r="G116" s="42">
        <f t="shared" ca="1" si="11"/>
        <v>1845.8900822825005</v>
      </c>
      <c r="H116" s="42">
        <f t="shared" ca="1" si="12"/>
        <v>1817.8900822825005</v>
      </c>
      <c r="I116" s="42">
        <f t="shared" ca="1" si="13"/>
        <v>0</v>
      </c>
    </row>
    <row r="117" spans="5:9" x14ac:dyDescent="0.25">
      <c r="E117">
        <f t="shared" si="14"/>
        <v>107</v>
      </c>
      <c r="F117" s="39">
        <f t="shared" ca="1" si="10"/>
        <v>0.15986684842743415</v>
      </c>
      <c r="G117" s="42">
        <f t="shared" ca="1" si="11"/>
        <v>33.63613860439559</v>
      </c>
      <c r="H117" s="42">
        <f t="shared" ca="1" si="12"/>
        <v>5.6361386043955903</v>
      </c>
      <c r="I117" s="42">
        <f t="shared" ca="1" si="13"/>
        <v>0</v>
      </c>
    </row>
    <row r="118" spans="5:9" x14ac:dyDescent="0.25">
      <c r="E118">
        <f t="shared" si="14"/>
        <v>108</v>
      </c>
      <c r="F118" s="39">
        <f t="shared" ca="1" si="10"/>
        <v>11.470060542545504</v>
      </c>
      <c r="G118" s="42">
        <f t="shared" ca="1" si="11"/>
        <v>361.6317557338196</v>
      </c>
      <c r="H118" s="42">
        <f t="shared" ca="1" si="12"/>
        <v>333.6317557338196</v>
      </c>
      <c r="I118" s="42">
        <f t="shared" ca="1" si="13"/>
        <v>0</v>
      </c>
    </row>
    <row r="119" spans="5:9" x14ac:dyDescent="0.25">
      <c r="E119">
        <f t="shared" si="14"/>
        <v>109</v>
      </c>
      <c r="F119" s="39">
        <f t="shared" ca="1" si="10"/>
        <v>-41.091513650319314</v>
      </c>
      <c r="G119" s="42">
        <f t="shared" ca="1" si="11"/>
        <v>-1162.65389585926</v>
      </c>
      <c r="H119" s="42">
        <f t="shared" ca="1" si="12"/>
        <v>-1190.65389585926</v>
      </c>
      <c r="I119" s="42">
        <f t="shared" ca="1" si="13"/>
        <v>0</v>
      </c>
    </row>
    <row r="120" spans="5:9" x14ac:dyDescent="0.25">
      <c r="E120">
        <f t="shared" si="14"/>
        <v>110</v>
      </c>
      <c r="F120" s="39">
        <f t="shared" ca="1" si="10"/>
        <v>-38.80627748272272</v>
      </c>
      <c r="G120" s="42">
        <f t="shared" ca="1" si="11"/>
        <v>-1096.3820469989589</v>
      </c>
      <c r="H120" s="42">
        <f t="shared" ca="1" si="12"/>
        <v>-1124.3820469989589</v>
      </c>
      <c r="I120" s="42">
        <f t="shared" ca="1" si="13"/>
        <v>0</v>
      </c>
    </row>
    <row r="121" spans="5:9" x14ac:dyDescent="0.25">
      <c r="E121">
        <f t="shared" si="14"/>
        <v>111</v>
      </c>
      <c r="F121" s="39">
        <f t="shared" ca="1" si="10"/>
        <v>89.994433936638842</v>
      </c>
      <c r="G121" s="42">
        <f t="shared" ca="1" si="11"/>
        <v>2638.8385841625263</v>
      </c>
      <c r="H121" s="42">
        <f t="shared" ca="1" si="12"/>
        <v>2610.8385841625263</v>
      </c>
      <c r="I121" s="42">
        <f t="shared" ca="1" si="13"/>
        <v>0</v>
      </c>
    </row>
    <row r="122" spans="5:9" x14ac:dyDescent="0.25">
      <c r="E122">
        <f t="shared" si="14"/>
        <v>112</v>
      </c>
      <c r="F122" s="39">
        <f t="shared" ca="1" si="10"/>
        <v>129.4844468721021</v>
      </c>
      <c r="G122" s="42">
        <f t="shared" ca="1" si="11"/>
        <v>3784.0489592909607</v>
      </c>
      <c r="H122" s="42">
        <f t="shared" ca="1" si="12"/>
        <v>3756.0489592909607</v>
      </c>
      <c r="I122" s="42">
        <f t="shared" ca="1" si="13"/>
        <v>0</v>
      </c>
    </row>
    <row r="123" spans="5:9" x14ac:dyDescent="0.25">
      <c r="E123">
        <f t="shared" si="14"/>
        <v>113</v>
      </c>
      <c r="F123" s="39">
        <f t="shared" ca="1" si="10"/>
        <v>79.779593592794754</v>
      </c>
      <c r="G123" s="42">
        <f t="shared" ca="1" si="11"/>
        <v>2342.6082141910479</v>
      </c>
      <c r="H123" s="42">
        <f t="shared" ca="1" si="12"/>
        <v>2314.6082141910479</v>
      </c>
      <c r="I123" s="42">
        <f t="shared" ca="1" si="13"/>
        <v>0</v>
      </c>
    </row>
    <row r="124" spans="5:9" x14ac:dyDescent="0.25">
      <c r="E124">
        <f t="shared" si="14"/>
        <v>114</v>
      </c>
      <c r="F124" s="39">
        <f t="shared" ca="1" si="10"/>
        <v>28.321868751676419</v>
      </c>
      <c r="G124" s="42">
        <f t="shared" ca="1" si="11"/>
        <v>850.33419379861618</v>
      </c>
      <c r="H124" s="42">
        <f t="shared" ca="1" si="12"/>
        <v>822.33419379861618</v>
      </c>
      <c r="I124" s="42">
        <f t="shared" ca="1" si="13"/>
        <v>0</v>
      </c>
    </row>
    <row r="125" spans="5:9" x14ac:dyDescent="0.25">
      <c r="E125">
        <f t="shared" si="14"/>
        <v>115</v>
      </c>
      <c r="F125" s="39">
        <f t="shared" ca="1" si="10"/>
        <v>95.38658096475362</v>
      </c>
      <c r="G125" s="42">
        <f t="shared" ca="1" si="11"/>
        <v>2795.2108479778549</v>
      </c>
      <c r="H125" s="42">
        <f t="shared" ca="1" si="12"/>
        <v>2767.2108479778549</v>
      </c>
      <c r="I125" s="42">
        <f t="shared" ca="1" si="13"/>
        <v>0</v>
      </c>
    </row>
    <row r="126" spans="5:9" x14ac:dyDescent="0.25">
      <c r="E126">
        <f t="shared" si="14"/>
        <v>116</v>
      </c>
      <c r="F126" s="39">
        <f t="shared" ca="1" si="10"/>
        <v>32.831686050267216</v>
      </c>
      <c r="G126" s="42">
        <f t="shared" ca="1" si="11"/>
        <v>981.1188954577492</v>
      </c>
      <c r="H126" s="42">
        <f t="shared" ca="1" si="12"/>
        <v>953.1188954577492</v>
      </c>
      <c r="I126" s="42">
        <f t="shared" ca="1" si="13"/>
        <v>0</v>
      </c>
    </row>
    <row r="127" spans="5:9" x14ac:dyDescent="0.25">
      <c r="E127">
        <f t="shared" si="14"/>
        <v>117</v>
      </c>
      <c r="F127" s="39">
        <f t="shared" ca="1" si="10"/>
        <v>49.497564535836055</v>
      </c>
      <c r="G127" s="42">
        <f t="shared" ca="1" si="11"/>
        <v>1464.4293715392455</v>
      </c>
      <c r="H127" s="42">
        <f t="shared" ca="1" si="12"/>
        <v>1436.4293715392455</v>
      </c>
      <c r="I127" s="42">
        <f t="shared" ca="1" si="13"/>
        <v>0</v>
      </c>
    </row>
    <row r="128" spans="5:9" x14ac:dyDescent="0.25">
      <c r="E128">
        <f t="shared" si="14"/>
        <v>118</v>
      </c>
      <c r="F128" s="39">
        <f t="shared" ca="1" si="10"/>
        <v>-2.7666792499617259</v>
      </c>
      <c r="G128" s="42">
        <f t="shared" ca="1" si="11"/>
        <v>-51.23369824889005</v>
      </c>
      <c r="H128" s="42">
        <f t="shared" ca="1" si="12"/>
        <v>-79.23369824889005</v>
      </c>
      <c r="I128" s="42">
        <f t="shared" ca="1" si="13"/>
        <v>0</v>
      </c>
    </row>
    <row r="129" spans="5:9" x14ac:dyDescent="0.25">
      <c r="E129">
        <f t="shared" si="14"/>
        <v>119</v>
      </c>
      <c r="F129" s="39">
        <f t="shared" ca="1" si="10"/>
        <v>64.796860403252367</v>
      </c>
      <c r="G129" s="42">
        <f t="shared" ca="1" si="11"/>
        <v>1908.1089516943186</v>
      </c>
      <c r="H129" s="42">
        <f t="shared" ca="1" si="12"/>
        <v>1880.1089516943186</v>
      </c>
      <c r="I129" s="42">
        <f t="shared" ca="1" si="13"/>
        <v>0</v>
      </c>
    </row>
    <row r="130" spans="5:9" x14ac:dyDescent="0.25">
      <c r="E130">
        <f t="shared" si="14"/>
        <v>120</v>
      </c>
      <c r="F130" s="39">
        <f t="shared" ca="1" si="10"/>
        <v>-1.5308930722629768</v>
      </c>
      <c r="G130" s="42">
        <f t="shared" ca="1" si="11"/>
        <v>-15.395899095626326</v>
      </c>
      <c r="H130" s="42">
        <f t="shared" ca="1" si="12"/>
        <v>-43.395899095626326</v>
      </c>
      <c r="I130" s="42">
        <f t="shared" ca="1" si="13"/>
        <v>0</v>
      </c>
    </row>
    <row r="131" spans="5:9" x14ac:dyDescent="0.25">
      <c r="E131">
        <f t="shared" si="14"/>
        <v>121</v>
      </c>
      <c r="F131" s="39">
        <f t="shared" ca="1" si="10"/>
        <v>-52.60112960615939</v>
      </c>
      <c r="G131" s="42">
        <f t="shared" ca="1" si="11"/>
        <v>-1496.4327585786223</v>
      </c>
      <c r="H131" s="42">
        <f t="shared" ca="1" si="12"/>
        <v>-1524.4327585786223</v>
      </c>
      <c r="I131" s="42">
        <f t="shared" ca="1" si="13"/>
        <v>0</v>
      </c>
    </row>
    <row r="132" spans="5:9" x14ac:dyDescent="0.25">
      <c r="E132">
        <f t="shared" si="14"/>
        <v>122</v>
      </c>
      <c r="F132" s="39">
        <f t="shared" ca="1" si="10"/>
        <v>2.6514735517546697</v>
      </c>
      <c r="G132" s="42">
        <f t="shared" ca="1" si="11"/>
        <v>105.89273300088541</v>
      </c>
      <c r="H132" s="42">
        <f t="shared" ca="1" si="12"/>
        <v>77.892733000885414</v>
      </c>
      <c r="I132" s="42">
        <f t="shared" ca="1" si="13"/>
        <v>0</v>
      </c>
    </row>
    <row r="133" spans="5:9" x14ac:dyDescent="0.25">
      <c r="E133">
        <f t="shared" si="14"/>
        <v>123</v>
      </c>
      <c r="F133" s="39">
        <f t="shared" ca="1" si="10"/>
        <v>75.705620267666234</v>
      </c>
      <c r="G133" s="42">
        <f t="shared" ca="1" si="11"/>
        <v>2224.4629877623206</v>
      </c>
      <c r="H133" s="42">
        <f t="shared" ca="1" si="12"/>
        <v>2196.4629877623206</v>
      </c>
      <c r="I133" s="42">
        <f t="shared" ca="1" si="13"/>
        <v>0</v>
      </c>
    </row>
    <row r="134" spans="5:9" x14ac:dyDescent="0.25">
      <c r="E134">
        <f t="shared" si="14"/>
        <v>124</v>
      </c>
      <c r="F134" s="39">
        <f t="shared" ca="1" si="10"/>
        <v>50.265188484564263</v>
      </c>
      <c r="G134" s="42">
        <f t="shared" ca="1" si="11"/>
        <v>1486.6904660523637</v>
      </c>
      <c r="H134" s="42">
        <f t="shared" ca="1" si="12"/>
        <v>1458.6904660523637</v>
      </c>
      <c r="I134" s="42">
        <f t="shared" ca="1" si="13"/>
        <v>0</v>
      </c>
    </row>
    <row r="135" spans="5:9" x14ac:dyDescent="0.25">
      <c r="E135">
        <f t="shared" si="14"/>
        <v>125</v>
      </c>
      <c r="F135" s="39">
        <f t="shared" ca="1" si="10"/>
        <v>18.120866381058406</v>
      </c>
      <c r="G135" s="42">
        <f t="shared" ca="1" si="11"/>
        <v>554.50512505069378</v>
      </c>
      <c r="H135" s="42">
        <f t="shared" ca="1" si="12"/>
        <v>526.50512505069378</v>
      </c>
      <c r="I135" s="42">
        <f t="shared" ca="1" si="13"/>
        <v>0</v>
      </c>
    </row>
    <row r="136" spans="5:9" x14ac:dyDescent="0.25">
      <c r="E136">
        <f t="shared" si="14"/>
        <v>126</v>
      </c>
      <c r="F136" s="39">
        <f t="shared" ca="1" si="10"/>
        <v>44.272879137629637</v>
      </c>
      <c r="G136" s="42">
        <f t="shared" ca="1" si="11"/>
        <v>1312.9134949912595</v>
      </c>
      <c r="H136" s="42">
        <f t="shared" ca="1" si="12"/>
        <v>1284.9134949912595</v>
      </c>
      <c r="I136" s="42">
        <f t="shared" ca="1" si="13"/>
        <v>0</v>
      </c>
    </row>
    <row r="137" spans="5:9" x14ac:dyDescent="0.25">
      <c r="E137">
        <f t="shared" si="14"/>
        <v>127</v>
      </c>
      <c r="F137" s="39">
        <f t="shared" ca="1" si="10"/>
        <v>31.044958256075152</v>
      </c>
      <c r="G137" s="42">
        <f t="shared" ca="1" si="11"/>
        <v>929.30378942617926</v>
      </c>
      <c r="H137" s="42">
        <f t="shared" ca="1" si="12"/>
        <v>901.30378942617926</v>
      </c>
      <c r="I137" s="42">
        <f t="shared" ca="1" si="13"/>
        <v>0</v>
      </c>
    </row>
    <row r="138" spans="5:9" x14ac:dyDescent="0.25">
      <c r="E138">
        <f t="shared" si="14"/>
        <v>128</v>
      </c>
      <c r="F138" s="39">
        <f t="shared" ca="1" si="10"/>
        <v>45.691297825885208</v>
      </c>
      <c r="G138" s="42">
        <f t="shared" ca="1" si="11"/>
        <v>1354.0476369506709</v>
      </c>
      <c r="H138" s="42">
        <f t="shared" ca="1" si="12"/>
        <v>1326.0476369506709</v>
      </c>
      <c r="I138" s="42">
        <f t="shared" ca="1" si="13"/>
        <v>0</v>
      </c>
    </row>
    <row r="139" spans="5:9" x14ac:dyDescent="0.25">
      <c r="E139">
        <f t="shared" si="14"/>
        <v>129</v>
      </c>
      <c r="F139" s="39">
        <f t="shared" ca="1" si="10"/>
        <v>64.56142289023154</v>
      </c>
      <c r="G139" s="42">
        <f t="shared" ca="1" si="11"/>
        <v>1901.2812638167147</v>
      </c>
      <c r="H139" s="42">
        <f t="shared" ca="1" si="12"/>
        <v>1873.2812638167147</v>
      </c>
      <c r="I139" s="42">
        <f t="shared" ca="1" si="13"/>
        <v>0</v>
      </c>
    </row>
    <row r="140" spans="5:9" x14ac:dyDescent="0.25">
      <c r="E140">
        <f t="shared" si="14"/>
        <v>130</v>
      </c>
      <c r="F140" s="39">
        <f t="shared" ref="F140:F203" ca="1" si="15">_xlfn.NORM.INV(RAND(),$E$45,$E$46)</f>
        <v>19.500739199956648</v>
      </c>
      <c r="G140" s="42">
        <f t="shared" ref="G140:G203" ca="1" si="16">$E$39*(1+F140)</f>
        <v>594.5214367987428</v>
      </c>
      <c r="H140" s="42">
        <f t="shared" ref="H140:H203" ca="1" si="17">MAX(G140-$E$38)</f>
        <v>566.5214367987428</v>
      </c>
      <c r="I140" s="42">
        <f t="shared" ref="I140:I203" ca="1" si="18">MAX($E$38-$H$43,0)</f>
        <v>0</v>
      </c>
    </row>
    <row r="141" spans="5:9" x14ac:dyDescent="0.25">
      <c r="E141">
        <f t="shared" ref="E141:E204" si="19">E140+1</f>
        <v>131</v>
      </c>
      <c r="F141" s="39">
        <f t="shared" ca="1" si="15"/>
        <v>12.450873279822748</v>
      </c>
      <c r="G141" s="42">
        <f t="shared" ca="1" si="16"/>
        <v>390.07532511485971</v>
      </c>
      <c r="H141" s="42">
        <f t="shared" ca="1" si="17"/>
        <v>362.07532511485971</v>
      </c>
      <c r="I141" s="42">
        <f t="shared" ca="1" si="18"/>
        <v>0</v>
      </c>
    </row>
    <row r="142" spans="5:9" x14ac:dyDescent="0.25">
      <c r="E142">
        <f t="shared" si="19"/>
        <v>132</v>
      </c>
      <c r="F142" s="39">
        <f t="shared" ca="1" si="15"/>
        <v>0.22630756082450887</v>
      </c>
      <c r="G142" s="42">
        <f t="shared" ca="1" si="16"/>
        <v>35.562919263910757</v>
      </c>
      <c r="H142" s="42">
        <f t="shared" ca="1" si="17"/>
        <v>7.5629192639107572</v>
      </c>
      <c r="I142" s="42">
        <f t="shared" ca="1" si="18"/>
        <v>0</v>
      </c>
    </row>
    <row r="143" spans="5:9" x14ac:dyDescent="0.25">
      <c r="E143">
        <f t="shared" si="19"/>
        <v>133</v>
      </c>
      <c r="F143" s="39">
        <f t="shared" ca="1" si="15"/>
        <v>24.829703346294643</v>
      </c>
      <c r="G143" s="42">
        <f t="shared" ca="1" si="16"/>
        <v>749.06139704254463</v>
      </c>
      <c r="H143" s="42">
        <f t="shared" ca="1" si="17"/>
        <v>721.06139704254463</v>
      </c>
      <c r="I143" s="42">
        <f t="shared" ca="1" si="18"/>
        <v>0</v>
      </c>
    </row>
    <row r="144" spans="5:9" x14ac:dyDescent="0.25">
      <c r="E144">
        <f t="shared" si="19"/>
        <v>134</v>
      </c>
      <c r="F144" s="39">
        <f t="shared" ca="1" si="15"/>
        <v>-34.524978639409952</v>
      </c>
      <c r="G144" s="42">
        <f t="shared" ca="1" si="16"/>
        <v>-972.22438054288864</v>
      </c>
      <c r="H144" s="42">
        <f t="shared" ca="1" si="17"/>
        <v>-1000.2243805428886</v>
      </c>
      <c r="I144" s="42">
        <f t="shared" ca="1" si="18"/>
        <v>0</v>
      </c>
    </row>
    <row r="145" spans="5:9" x14ac:dyDescent="0.25">
      <c r="E145">
        <f t="shared" si="19"/>
        <v>135</v>
      </c>
      <c r="F145" s="39">
        <f t="shared" ca="1" si="15"/>
        <v>49.740284066135551</v>
      </c>
      <c r="G145" s="42">
        <f t="shared" ca="1" si="16"/>
        <v>1471.468237917931</v>
      </c>
      <c r="H145" s="42">
        <f t="shared" ca="1" si="17"/>
        <v>1443.468237917931</v>
      </c>
      <c r="I145" s="42">
        <f t="shared" ca="1" si="18"/>
        <v>0</v>
      </c>
    </row>
    <row r="146" spans="5:9" x14ac:dyDescent="0.25">
      <c r="E146">
        <f t="shared" si="19"/>
        <v>136</v>
      </c>
      <c r="F146" s="39">
        <f t="shared" ca="1" si="15"/>
        <v>-20.086987312875657</v>
      </c>
      <c r="G146" s="42">
        <f t="shared" ca="1" si="16"/>
        <v>-553.52263207339399</v>
      </c>
      <c r="H146" s="42">
        <f t="shared" ca="1" si="17"/>
        <v>-581.52263207339399</v>
      </c>
      <c r="I146" s="42">
        <f t="shared" ca="1" si="18"/>
        <v>0</v>
      </c>
    </row>
    <row r="147" spans="5:9" x14ac:dyDescent="0.25">
      <c r="E147">
        <f t="shared" si="19"/>
        <v>137</v>
      </c>
      <c r="F147" s="39">
        <f t="shared" ca="1" si="15"/>
        <v>59.058959220850127</v>
      </c>
      <c r="G147" s="42">
        <f t="shared" ca="1" si="16"/>
        <v>1741.7098174046537</v>
      </c>
      <c r="H147" s="42">
        <f t="shared" ca="1" si="17"/>
        <v>1713.7098174046537</v>
      </c>
      <c r="I147" s="42">
        <f t="shared" ca="1" si="18"/>
        <v>0</v>
      </c>
    </row>
    <row r="148" spans="5:9" x14ac:dyDescent="0.25">
      <c r="E148">
        <f t="shared" si="19"/>
        <v>138</v>
      </c>
      <c r="F148" s="39">
        <f t="shared" ca="1" si="15"/>
        <v>43.063905072800161</v>
      </c>
      <c r="G148" s="42">
        <f t="shared" ca="1" si="16"/>
        <v>1277.8532471112046</v>
      </c>
      <c r="H148" s="42">
        <f t="shared" ca="1" si="17"/>
        <v>1249.8532471112046</v>
      </c>
      <c r="I148" s="42">
        <f t="shared" ca="1" si="18"/>
        <v>0</v>
      </c>
    </row>
    <row r="149" spans="5:9" x14ac:dyDescent="0.25">
      <c r="E149">
        <f t="shared" si="19"/>
        <v>139</v>
      </c>
      <c r="F149" s="39">
        <f t="shared" ca="1" si="15"/>
        <v>21.989103160176306</v>
      </c>
      <c r="G149" s="42">
        <f t="shared" ca="1" si="16"/>
        <v>666.68399164511288</v>
      </c>
      <c r="H149" s="42">
        <f t="shared" ca="1" si="17"/>
        <v>638.68399164511288</v>
      </c>
      <c r="I149" s="42">
        <f t="shared" ca="1" si="18"/>
        <v>0</v>
      </c>
    </row>
    <row r="150" spans="5:9" x14ac:dyDescent="0.25">
      <c r="E150">
        <f t="shared" si="19"/>
        <v>140</v>
      </c>
      <c r="F150" s="39">
        <f t="shared" ca="1" si="15"/>
        <v>8.6794249682847386</v>
      </c>
      <c r="G150" s="42">
        <f t="shared" ca="1" si="16"/>
        <v>280.7033240802574</v>
      </c>
      <c r="H150" s="42">
        <f t="shared" ca="1" si="17"/>
        <v>252.7033240802574</v>
      </c>
      <c r="I150" s="42">
        <f t="shared" ca="1" si="18"/>
        <v>0</v>
      </c>
    </row>
    <row r="151" spans="5:9" x14ac:dyDescent="0.25">
      <c r="E151">
        <f t="shared" si="19"/>
        <v>141</v>
      </c>
      <c r="F151" s="39">
        <f t="shared" ca="1" si="15"/>
        <v>67.15412197535322</v>
      </c>
      <c r="G151" s="42">
        <f t="shared" ca="1" si="16"/>
        <v>1976.4695372852434</v>
      </c>
      <c r="H151" s="42">
        <f t="shared" ca="1" si="17"/>
        <v>1948.4695372852434</v>
      </c>
      <c r="I151" s="42">
        <f t="shared" ca="1" si="18"/>
        <v>0</v>
      </c>
    </row>
    <row r="152" spans="5:9" x14ac:dyDescent="0.25">
      <c r="E152">
        <f t="shared" si="19"/>
        <v>142</v>
      </c>
      <c r="F152" s="39">
        <f t="shared" ca="1" si="15"/>
        <v>-22.94735442600193</v>
      </c>
      <c r="G152" s="42">
        <f t="shared" ca="1" si="16"/>
        <v>-636.47327835405599</v>
      </c>
      <c r="H152" s="42">
        <f t="shared" ca="1" si="17"/>
        <v>-664.47327835405599</v>
      </c>
      <c r="I152" s="42">
        <f t="shared" ca="1" si="18"/>
        <v>0</v>
      </c>
    </row>
    <row r="153" spans="5:9" x14ac:dyDescent="0.25">
      <c r="E153">
        <f t="shared" si="19"/>
        <v>143</v>
      </c>
      <c r="F153" s="39">
        <f t="shared" ca="1" si="15"/>
        <v>33.072537206814957</v>
      </c>
      <c r="G153" s="42">
        <f t="shared" ca="1" si="16"/>
        <v>988.1035789976338</v>
      </c>
      <c r="H153" s="42">
        <f t="shared" ca="1" si="17"/>
        <v>960.1035789976338</v>
      </c>
      <c r="I153" s="42">
        <f t="shared" ca="1" si="18"/>
        <v>0</v>
      </c>
    </row>
    <row r="154" spans="5:9" x14ac:dyDescent="0.25">
      <c r="E154">
        <f t="shared" si="19"/>
        <v>144</v>
      </c>
      <c r="F154" s="39">
        <f t="shared" ca="1" si="15"/>
        <v>123.83797712072943</v>
      </c>
      <c r="G154" s="42">
        <f t="shared" ca="1" si="16"/>
        <v>3620.3013365011534</v>
      </c>
      <c r="H154" s="42">
        <f t="shared" ca="1" si="17"/>
        <v>3592.3013365011534</v>
      </c>
      <c r="I154" s="42">
        <f t="shared" ca="1" si="18"/>
        <v>0</v>
      </c>
    </row>
    <row r="155" spans="5:9" x14ac:dyDescent="0.25">
      <c r="E155">
        <f t="shared" si="19"/>
        <v>145</v>
      </c>
      <c r="F155" s="39">
        <f t="shared" ca="1" si="15"/>
        <v>35.622877464044493</v>
      </c>
      <c r="G155" s="42">
        <f t="shared" ca="1" si="16"/>
        <v>1062.0634464572902</v>
      </c>
      <c r="H155" s="42">
        <f t="shared" ca="1" si="17"/>
        <v>1034.0634464572902</v>
      </c>
      <c r="I155" s="42">
        <f t="shared" ca="1" si="18"/>
        <v>0</v>
      </c>
    </row>
    <row r="156" spans="5:9" x14ac:dyDescent="0.25">
      <c r="E156">
        <f t="shared" si="19"/>
        <v>146</v>
      </c>
      <c r="F156" s="39">
        <f t="shared" ca="1" si="15"/>
        <v>72.977662777662658</v>
      </c>
      <c r="G156" s="42">
        <f t="shared" ca="1" si="16"/>
        <v>2145.3522205522172</v>
      </c>
      <c r="H156" s="42">
        <f t="shared" ca="1" si="17"/>
        <v>2117.3522205522172</v>
      </c>
      <c r="I156" s="42">
        <f t="shared" ca="1" si="18"/>
        <v>0</v>
      </c>
    </row>
    <row r="157" spans="5:9" x14ac:dyDescent="0.25">
      <c r="E157">
        <f t="shared" si="19"/>
        <v>147</v>
      </c>
      <c r="F157" s="39">
        <f t="shared" ca="1" si="15"/>
        <v>24.470031582645426</v>
      </c>
      <c r="G157" s="42">
        <f t="shared" ca="1" si="16"/>
        <v>738.6309158967174</v>
      </c>
      <c r="H157" s="42">
        <f t="shared" ca="1" si="17"/>
        <v>710.6309158967174</v>
      </c>
      <c r="I157" s="42">
        <f t="shared" ca="1" si="18"/>
        <v>0</v>
      </c>
    </row>
    <row r="158" spans="5:9" x14ac:dyDescent="0.25">
      <c r="E158">
        <f t="shared" si="19"/>
        <v>148</v>
      </c>
      <c r="F158" s="39">
        <f t="shared" ca="1" si="15"/>
        <v>0.57660684382712901</v>
      </c>
      <c r="G158" s="42">
        <f t="shared" ca="1" si="16"/>
        <v>45.721598470986741</v>
      </c>
      <c r="H158" s="42">
        <f t="shared" ca="1" si="17"/>
        <v>17.721598470986741</v>
      </c>
      <c r="I158" s="42">
        <f t="shared" ca="1" si="18"/>
        <v>0</v>
      </c>
    </row>
    <row r="159" spans="5:9" x14ac:dyDescent="0.25">
      <c r="E159">
        <f t="shared" si="19"/>
        <v>149</v>
      </c>
      <c r="F159" s="39">
        <f t="shared" ca="1" si="15"/>
        <v>65.803497802871917</v>
      </c>
      <c r="G159" s="42">
        <f t="shared" ca="1" si="16"/>
        <v>1937.3014362832855</v>
      </c>
      <c r="H159" s="42">
        <f t="shared" ca="1" si="17"/>
        <v>1909.3014362832855</v>
      </c>
      <c r="I159" s="42">
        <f t="shared" ca="1" si="18"/>
        <v>0</v>
      </c>
    </row>
    <row r="160" spans="5:9" x14ac:dyDescent="0.25">
      <c r="E160">
        <f t="shared" si="19"/>
        <v>150</v>
      </c>
      <c r="F160" s="39">
        <f t="shared" ca="1" si="15"/>
        <v>8.9501136557848575</v>
      </c>
      <c r="G160" s="42">
        <f t="shared" ca="1" si="16"/>
        <v>288.55329601776089</v>
      </c>
      <c r="H160" s="42">
        <f t="shared" ca="1" si="17"/>
        <v>260.55329601776089</v>
      </c>
      <c r="I160" s="42">
        <f t="shared" ca="1" si="18"/>
        <v>0</v>
      </c>
    </row>
    <row r="161" spans="5:9" x14ac:dyDescent="0.25">
      <c r="E161">
        <f t="shared" si="19"/>
        <v>151</v>
      </c>
      <c r="F161" s="39">
        <f t="shared" ca="1" si="15"/>
        <v>104.17041103483722</v>
      </c>
      <c r="G161" s="42">
        <f t="shared" ca="1" si="16"/>
        <v>3049.9419200102793</v>
      </c>
      <c r="H161" s="42">
        <f t="shared" ca="1" si="17"/>
        <v>3021.9419200102793</v>
      </c>
      <c r="I161" s="42">
        <f t="shared" ca="1" si="18"/>
        <v>0</v>
      </c>
    </row>
    <row r="162" spans="5:9" x14ac:dyDescent="0.25">
      <c r="E162">
        <f t="shared" si="19"/>
        <v>152</v>
      </c>
      <c r="F162" s="39">
        <f t="shared" ca="1" si="15"/>
        <v>19.912333207852544</v>
      </c>
      <c r="G162" s="42">
        <f t="shared" ca="1" si="16"/>
        <v>606.45766302772381</v>
      </c>
      <c r="H162" s="42">
        <f t="shared" ca="1" si="17"/>
        <v>578.45766302772381</v>
      </c>
      <c r="I162" s="42">
        <f t="shared" ca="1" si="18"/>
        <v>0</v>
      </c>
    </row>
    <row r="163" spans="5:9" x14ac:dyDescent="0.25">
      <c r="E163">
        <f t="shared" si="19"/>
        <v>153</v>
      </c>
      <c r="F163" s="39">
        <f t="shared" ca="1" si="15"/>
        <v>11.433356012331064</v>
      </c>
      <c r="G163" s="42">
        <f t="shared" ca="1" si="16"/>
        <v>360.56732435760085</v>
      </c>
      <c r="H163" s="42">
        <f t="shared" ca="1" si="17"/>
        <v>332.56732435760085</v>
      </c>
      <c r="I163" s="42">
        <f t="shared" ca="1" si="18"/>
        <v>0</v>
      </c>
    </row>
    <row r="164" spans="5:9" x14ac:dyDescent="0.25">
      <c r="E164">
        <f t="shared" si="19"/>
        <v>154</v>
      </c>
      <c r="F164" s="39">
        <f t="shared" ca="1" si="15"/>
        <v>27.704735178765816</v>
      </c>
      <c r="G164" s="42">
        <f t="shared" ca="1" si="16"/>
        <v>832.4373201842086</v>
      </c>
      <c r="H164" s="42">
        <f t="shared" ca="1" si="17"/>
        <v>804.4373201842086</v>
      </c>
      <c r="I164" s="42">
        <f t="shared" ca="1" si="18"/>
        <v>0</v>
      </c>
    </row>
    <row r="165" spans="5:9" x14ac:dyDescent="0.25">
      <c r="E165">
        <f t="shared" si="19"/>
        <v>155</v>
      </c>
      <c r="F165" s="39">
        <f t="shared" ca="1" si="15"/>
        <v>45.021183739696816</v>
      </c>
      <c r="G165" s="42">
        <f t="shared" ca="1" si="16"/>
        <v>1334.6143284512077</v>
      </c>
      <c r="H165" s="42">
        <f t="shared" ca="1" si="17"/>
        <v>1306.6143284512077</v>
      </c>
      <c r="I165" s="42">
        <f t="shared" ca="1" si="18"/>
        <v>0</v>
      </c>
    </row>
    <row r="166" spans="5:9" x14ac:dyDescent="0.25">
      <c r="E166">
        <f t="shared" si="19"/>
        <v>156</v>
      </c>
      <c r="F166" s="39">
        <f t="shared" ca="1" si="15"/>
        <v>11.05727154174383</v>
      </c>
      <c r="G166" s="42">
        <f t="shared" ca="1" si="16"/>
        <v>349.66087471057108</v>
      </c>
      <c r="H166" s="42">
        <f t="shared" ca="1" si="17"/>
        <v>321.66087471057108</v>
      </c>
      <c r="I166" s="42">
        <f t="shared" ca="1" si="18"/>
        <v>0</v>
      </c>
    </row>
    <row r="167" spans="5:9" x14ac:dyDescent="0.25">
      <c r="E167">
        <f t="shared" si="19"/>
        <v>157</v>
      </c>
      <c r="F167" s="39">
        <f t="shared" ca="1" si="15"/>
        <v>2.422457462747353</v>
      </c>
      <c r="G167" s="42">
        <f t="shared" ca="1" si="16"/>
        <v>99.251266419673243</v>
      </c>
      <c r="H167" s="42">
        <f t="shared" ca="1" si="17"/>
        <v>71.251266419673243</v>
      </c>
      <c r="I167" s="42">
        <f t="shared" ca="1" si="18"/>
        <v>0</v>
      </c>
    </row>
    <row r="168" spans="5:9" x14ac:dyDescent="0.25">
      <c r="E168">
        <f t="shared" si="19"/>
        <v>158</v>
      </c>
      <c r="F168" s="39">
        <f t="shared" ca="1" si="15"/>
        <v>19.268452262712174</v>
      </c>
      <c r="G168" s="42">
        <f t="shared" ca="1" si="16"/>
        <v>587.78511561865298</v>
      </c>
      <c r="H168" s="42">
        <f t="shared" ca="1" si="17"/>
        <v>559.78511561865298</v>
      </c>
      <c r="I168" s="42">
        <f t="shared" ca="1" si="18"/>
        <v>0</v>
      </c>
    </row>
    <row r="169" spans="5:9" x14ac:dyDescent="0.25">
      <c r="E169">
        <f t="shared" si="19"/>
        <v>159</v>
      </c>
      <c r="F169" s="39">
        <f t="shared" ca="1" si="15"/>
        <v>37.788916845315221</v>
      </c>
      <c r="G169" s="42">
        <f t="shared" ca="1" si="16"/>
        <v>1124.8785885141415</v>
      </c>
      <c r="H169" s="42">
        <f t="shared" ca="1" si="17"/>
        <v>1096.8785885141415</v>
      </c>
      <c r="I169" s="42">
        <f t="shared" ca="1" si="18"/>
        <v>0</v>
      </c>
    </row>
    <row r="170" spans="5:9" x14ac:dyDescent="0.25">
      <c r="E170">
        <f t="shared" si="19"/>
        <v>160</v>
      </c>
      <c r="F170" s="39">
        <f t="shared" ca="1" si="15"/>
        <v>38.86557374864482</v>
      </c>
      <c r="G170" s="42">
        <f t="shared" ca="1" si="16"/>
        <v>1156.1016387106997</v>
      </c>
      <c r="H170" s="42">
        <f t="shared" ca="1" si="17"/>
        <v>1128.1016387106997</v>
      </c>
      <c r="I170" s="42">
        <f t="shared" ca="1" si="18"/>
        <v>0</v>
      </c>
    </row>
    <row r="171" spans="5:9" x14ac:dyDescent="0.25">
      <c r="E171">
        <f t="shared" si="19"/>
        <v>161</v>
      </c>
      <c r="F171" s="39">
        <f t="shared" ca="1" si="15"/>
        <v>85.710760815573309</v>
      </c>
      <c r="G171" s="42">
        <f t="shared" ca="1" si="16"/>
        <v>2514.6120636516262</v>
      </c>
      <c r="H171" s="42">
        <f t="shared" ca="1" si="17"/>
        <v>2486.6120636516262</v>
      </c>
      <c r="I171" s="42">
        <f t="shared" ca="1" si="18"/>
        <v>0</v>
      </c>
    </row>
    <row r="172" spans="5:9" x14ac:dyDescent="0.25">
      <c r="E172">
        <f t="shared" si="19"/>
        <v>162</v>
      </c>
      <c r="F172" s="39">
        <f t="shared" ca="1" si="15"/>
        <v>16.906956418894023</v>
      </c>
      <c r="G172" s="42">
        <f t="shared" ca="1" si="16"/>
        <v>519.3017361479267</v>
      </c>
      <c r="H172" s="42">
        <f t="shared" ca="1" si="17"/>
        <v>491.3017361479267</v>
      </c>
      <c r="I172" s="42">
        <f t="shared" ca="1" si="18"/>
        <v>0</v>
      </c>
    </row>
    <row r="173" spans="5:9" x14ac:dyDescent="0.25">
      <c r="E173">
        <f t="shared" si="19"/>
        <v>163</v>
      </c>
      <c r="F173" s="39">
        <f t="shared" ca="1" si="15"/>
        <v>48.260879692651621</v>
      </c>
      <c r="G173" s="42">
        <f t="shared" ca="1" si="16"/>
        <v>1428.565511086897</v>
      </c>
      <c r="H173" s="42">
        <f t="shared" ca="1" si="17"/>
        <v>1400.565511086897</v>
      </c>
      <c r="I173" s="42">
        <f t="shared" ca="1" si="18"/>
        <v>0</v>
      </c>
    </row>
    <row r="174" spans="5:9" x14ac:dyDescent="0.25">
      <c r="E174">
        <f t="shared" si="19"/>
        <v>164</v>
      </c>
      <c r="F174" s="39">
        <f t="shared" ca="1" si="15"/>
        <v>55.241227704758302</v>
      </c>
      <c r="G174" s="42">
        <f t="shared" ca="1" si="16"/>
        <v>1630.9956034379907</v>
      </c>
      <c r="H174" s="42">
        <f t="shared" ca="1" si="17"/>
        <v>1602.9956034379907</v>
      </c>
      <c r="I174" s="42">
        <f t="shared" ca="1" si="18"/>
        <v>0</v>
      </c>
    </row>
    <row r="175" spans="5:9" x14ac:dyDescent="0.25">
      <c r="E175">
        <f t="shared" si="19"/>
        <v>165</v>
      </c>
      <c r="F175" s="39">
        <f t="shared" ca="1" si="15"/>
        <v>72.825620982389438</v>
      </c>
      <c r="G175" s="42">
        <f t="shared" ca="1" si="16"/>
        <v>2140.9430084892938</v>
      </c>
      <c r="H175" s="42">
        <f t="shared" ca="1" si="17"/>
        <v>2112.9430084892938</v>
      </c>
      <c r="I175" s="42">
        <f t="shared" ca="1" si="18"/>
        <v>0</v>
      </c>
    </row>
    <row r="176" spans="5:9" x14ac:dyDescent="0.25">
      <c r="E176">
        <f t="shared" si="19"/>
        <v>166</v>
      </c>
      <c r="F176" s="39">
        <f t="shared" ca="1" si="15"/>
        <v>39.738546241226949</v>
      </c>
      <c r="G176" s="42">
        <f t="shared" ca="1" si="16"/>
        <v>1181.4178409955816</v>
      </c>
      <c r="H176" s="42">
        <f t="shared" ca="1" si="17"/>
        <v>1153.4178409955816</v>
      </c>
      <c r="I176" s="42">
        <f t="shared" ca="1" si="18"/>
        <v>0</v>
      </c>
    </row>
    <row r="177" spans="5:9" x14ac:dyDescent="0.25">
      <c r="E177">
        <f t="shared" si="19"/>
        <v>167</v>
      </c>
      <c r="F177" s="39">
        <f t="shared" ca="1" si="15"/>
        <v>53.802230747328558</v>
      </c>
      <c r="G177" s="42">
        <f t="shared" ca="1" si="16"/>
        <v>1589.2646916725282</v>
      </c>
      <c r="H177" s="42">
        <f t="shared" ca="1" si="17"/>
        <v>1561.2646916725282</v>
      </c>
      <c r="I177" s="42">
        <f t="shared" ca="1" si="18"/>
        <v>0</v>
      </c>
    </row>
    <row r="178" spans="5:9" x14ac:dyDescent="0.25">
      <c r="E178">
        <f t="shared" si="19"/>
        <v>168</v>
      </c>
      <c r="F178" s="39">
        <f t="shared" ca="1" si="15"/>
        <v>-3.5699947791221049</v>
      </c>
      <c r="G178" s="42">
        <f t="shared" ca="1" si="16"/>
        <v>-74.52984859454105</v>
      </c>
      <c r="H178" s="42">
        <f t="shared" ca="1" si="17"/>
        <v>-102.52984859454105</v>
      </c>
      <c r="I178" s="42">
        <f t="shared" ca="1" si="18"/>
        <v>0</v>
      </c>
    </row>
    <row r="179" spans="5:9" x14ac:dyDescent="0.25">
      <c r="E179">
        <f t="shared" si="19"/>
        <v>169</v>
      </c>
      <c r="F179" s="39">
        <f t="shared" ca="1" si="15"/>
        <v>-4.1649742275127863</v>
      </c>
      <c r="G179" s="42">
        <f t="shared" ca="1" si="16"/>
        <v>-91.784252597870804</v>
      </c>
      <c r="H179" s="42">
        <f t="shared" ca="1" si="17"/>
        <v>-119.7842525978708</v>
      </c>
      <c r="I179" s="42">
        <f t="shared" ca="1" si="18"/>
        <v>0</v>
      </c>
    </row>
    <row r="180" spans="5:9" x14ac:dyDescent="0.25">
      <c r="E180">
        <f t="shared" si="19"/>
        <v>170</v>
      </c>
      <c r="F180" s="39">
        <f t="shared" ca="1" si="15"/>
        <v>61.463142961110989</v>
      </c>
      <c r="G180" s="42">
        <f t="shared" ca="1" si="16"/>
        <v>1811.4311458722186</v>
      </c>
      <c r="H180" s="42">
        <f t="shared" ca="1" si="17"/>
        <v>1783.4311458722186</v>
      </c>
      <c r="I180" s="42">
        <f t="shared" ca="1" si="18"/>
        <v>0</v>
      </c>
    </row>
    <row r="181" spans="5:9" x14ac:dyDescent="0.25">
      <c r="E181">
        <f t="shared" si="19"/>
        <v>171</v>
      </c>
      <c r="F181" s="39">
        <f t="shared" ca="1" si="15"/>
        <v>23.731439034430597</v>
      </c>
      <c r="G181" s="42">
        <f t="shared" ca="1" si="16"/>
        <v>717.21173199848727</v>
      </c>
      <c r="H181" s="42">
        <f t="shared" ca="1" si="17"/>
        <v>689.21173199848727</v>
      </c>
      <c r="I181" s="42">
        <f t="shared" ca="1" si="18"/>
        <v>0</v>
      </c>
    </row>
    <row r="182" spans="5:9" x14ac:dyDescent="0.25">
      <c r="E182">
        <f t="shared" si="19"/>
        <v>172</v>
      </c>
      <c r="F182" s="39">
        <f t="shared" ca="1" si="15"/>
        <v>-5.8112359335098347</v>
      </c>
      <c r="G182" s="42">
        <f t="shared" ca="1" si="16"/>
        <v>-139.52584207178521</v>
      </c>
      <c r="H182" s="42">
        <f t="shared" ca="1" si="17"/>
        <v>-167.52584207178521</v>
      </c>
      <c r="I182" s="42">
        <f t="shared" ca="1" si="18"/>
        <v>0</v>
      </c>
    </row>
    <row r="183" spans="5:9" x14ac:dyDescent="0.25">
      <c r="E183">
        <f t="shared" si="19"/>
        <v>173</v>
      </c>
      <c r="F183" s="39">
        <f t="shared" ca="1" si="15"/>
        <v>-30.062517218796671</v>
      </c>
      <c r="G183" s="42">
        <f t="shared" ca="1" si="16"/>
        <v>-842.81299934510344</v>
      </c>
      <c r="H183" s="42">
        <f t="shared" ca="1" si="17"/>
        <v>-870.81299934510344</v>
      </c>
      <c r="I183" s="42">
        <f t="shared" ca="1" si="18"/>
        <v>0</v>
      </c>
    </row>
    <row r="184" spans="5:9" x14ac:dyDescent="0.25">
      <c r="E184">
        <f t="shared" si="19"/>
        <v>174</v>
      </c>
      <c r="F184" s="39">
        <f t="shared" ca="1" si="15"/>
        <v>61.357146720931567</v>
      </c>
      <c r="G184" s="42">
        <f t="shared" ca="1" si="16"/>
        <v>1808.3572549070154</v>
      </c>
      <c r="H184" s="42">
        <f t="shared" ca="1" si="17"/>
        <v>1780.3572549070154</v>
      </c>
      <c r="I184" s="42">
        <f t="shared" ca="1" si="18"/>
        <v>0</v>
      </c>
    </row>
    <row r="185" spans="5:9" x14ac:dyDescent="0.25">
      <c r="E185">
        <f t="shared" si="19"/>
        <v>175</v>
      </c>
      <c r="F185" s="39">
        <f t="shared" ca="1" si="15"/>
        <v>77.53612624915084</v>
      </c>
      <c r="G185" s="42">
        <f t="shared" ca="1" si="16"/>
        <v>2277.5476612253742</v>
      </c>
      <c r="H185" s="42">
        <f t="shared" ca="1" si="17"/>
        <v>2249.5476612253742</v>
      </c>
      <c r="I185" s="42">
        <f t="shared" ca="1" si="18"/>
        <v>0</v>
      </c>
    </row>
    <row r="186" spans="5:9" x14ac:dyDescent="0.25">
      <c r="E186">
        <f t="shared" si="19"/>
        <v>176</v>
      </c>
      <c r="F186" s="39">
        <f t="shared" ca="1" si="15"/>
        <v>63.711085678143462</v>
      </c>
      <c r="G186" s="42">
        <f t="shared" ca="1" si="16"/>
        <v>1876.6214846661603</v>
      </c>
      <c r="H186" s="42">
        <f t="shared" ca="1" si="17"/>
        <v>1848.6214846661603</v>
      </c>
      <c r="I186" s="42">
        <f t="shared" ca="1" si="18"/>
        <v>0</v>
      </c>
    </row>
    <row r="187" spans="5:9" x14ac:dyDescent="0.25">
      <c r="E187">
        <f t="shared" si="19"/>
        <v>177</v>
      </c>
      <c r="F187" s="39">
        <f t="shared" ca="1" si="15"/>
        <v>1.7835070432112872</v>
      </c>
      <c r="G187" s="42">
        <f t="shared" ca="1" si="16"/>
        <v>80.721704253127328</v>
      </c>
      <c r="H187" s="42">
        <f t="shared" ca="1" si="17"/>
        <v>52.721704253127328</v>
      </c>
      <c r="I187" s="42">
        <f t="shared" ca="1" si="18"/>
        <v>0</v>
      </c>
    </row>
    <row r="188" spans="5:9" x14ac:dyDescent="0.25">
      <c r="E188">
        <f t="shared" si="19"/>
        <v>178</v>
      </c>
      <c r="F188" s="39">
        <f t="shared" ca="1" si="15"/>
        <v>5.2800173175440399</v>
      </c>
      <c r="G188" s="42">
        <f t="shared" ca="1" si="16"/>
        <v>182.12050220877717</v>
      </c>
      <c r="H188" s="42">
        <f t="shared" ca="1" si="17"/>
        <v>154.12050220877717</v>
      </c>
      <c r="I188" s="42">
        <f t="shared" ca="1" si="18"/>
        <v>0</v>
      </c>
    </row>
    <row r="189" spans="5:9" x14ac:dyDescent="0.25">
      <c r="E189">
        <f t="shared" si="19"/>
        <v>179</v>
      </c>
      <c r="F189" s="39">
        <f t="shared" ca="1" si="15"/>
        <v>33.012539191808074</v>
      </c>
      <c r="G189" s="42">
        <f t="shared" ca="1" si="16"/>
        <v>986.36363656243418</v>
      </c>
      <c r="H189" s="42">
        <f t="shared" ca="1" si="17"/>
        <v>958.36363656243418</v>
      </c>
      <c r="I189" s="42">
        <f t="shared" ca="1" si="18"/>
        <v>0</v>
      </c>
    </row>
    <row r="190" spans="5:9" x14ac:dyDescent="0.25">
      <c r="E190">
        <f t="shared" si="19"/>
        <v>180</v>
      </c>
      <c r="F190" s="39">
        <f t="shared" ca="1" si="15"/>
        <v>29.64228614279493</v>
      </c>
      <c r="G190" s="42">
        <f t="shared" ca="1" si="16"/>
        <v>888.62629814105298</v>
      </c>
      <c r="H190" s="42">
        <f t="shared" ca="1" si="17"/>
        <v>860.62629814105298</v>
      </c>
      <c r="I190" s="42">
        <f t="shared" ca="1" si="18"/>
        <v>0</v>
      </c>
    </row>
    <row r="191" spans="5:9" x14ac:dyDescent="0.25">
      <c r="E191">
        <f t="shared" si="19"/>
        <v>181</v>
      </c>
      <c r="F191" s="39">
        <f t="shared" ca="1" si="15"/>
        <v>23.167548928430516</v>
      </c>
      <c r="G191" s="42">
        <f t="shared" ca="1" si="16"/>
        <v>700.85891892448501</v>
      </c>
      <c r="H191" s="42">
        <f t="shared" ca="1" si="17"/>
        <v>672.85891892448501</v>
      </c>
      <c r="I191" s="42">
        <f t="shared" ca="1" si="18"/>
        <v>0</v>
      </c>
    </row>
    <row r="192" spans="5:9" x14ac:dyDescent="0.25">
      <c r="E192">
        <f t="shared" si="19"/>
        <v>182</v>
      </c>
      <c r="F192" s="39">
        <f t="shared" ca="1" si="15"/>
        <v>70.549886605331523</v>
      </c>
      <c r="G192" s="42">
        <f t="shared" ca="1" si="16"/>
        <v>2074.946711554614</v>
      </c>
      <c r="H192" s="42">
        <f t="shared" ca="1" si="17"/>
        <v>2046.946711554614</v>
      </c>
      <c r="I192" s="42">
        <f t="shared" ca="1" si="18"/>
        <v>0</v>
      </c>
    </row>
    <row r="193" spans="5:9" x14ac:dyDescent="0.25">
      <c r="E193">
        <f t="shared" si="19"/>
        <v>183</v>
      </c>
      <c r="F193" s="39">
        <f t="shared" ca="1" si="15"/>
        <v>13.025305255798781</v>
      </c>
      <c r="G193" s="42">
        <f t="shared" ca="1" si="16"/>
        <v>406.73385241816464</v>
      </c>
      <c r="H193" s="42">
        <f t="shared" ca="1" si="17"/>
        <v>378.73385241816464</v>
      </c>
      <c r="I193" s="42">
        <f t="shared" ca="1" si="18"/>
        <v>0</v>
      </c>
    </row>
    <row r="194" spans="5:9" x14ac:dyDescent="0.25">
      <c r="E194">
        <f t="shared" si="19"/>
        <v>184</v>
      </c>
      <c r="F194" s="39">
        <f t="shared" ca="1" si="15"/>
        <v>50.817442303468177</v>
      </c>
      <c r="G194" s="42">
        <f t="shared" ca="1" si="16"/>
        <v>1502.7058268005771</v>
      </c>
      <c r="H194" s="42">
        <f t="shared" ca="1" si="17"/>
        <v>1474.7058268005771</v>
      </c>
      <c r="I194" s="42">
        <f t="shared" ca="1" si="18"/>
        <v>0</v>
      </c>
    </row>
    <row r="195" spans="5:9" x14ac:dyDescent="0.25">
      <c r="E195">
        <f t="shared" si="19"/>
        <v>185</v>
      </c>
      <c r="F195" s="39">
        <f t="shared" ca="1" si="15"/>
        <v>11.7817286656792</v>
      </c>
      <c r="G195" s="42">
        <f t="shared" ca="1" si="16"/>
        <v>370.67013130469678</v>
      </c>
      <c r="H195" s="42">
        <f t="shared" ca="1" si="17"/>
        <v>342.67013130469678</v>
      </c>
      <c r="I195" s="42">
        <f t="shared" ca="1" si="18"/>
        <v>0</v>
      </c>
    </row>
    <row r="196" spans="5:9" x14ac:dyDescent="0.25">
      <c r="E196">
        <f t="shared" si="19"/>
        <v>186</v>
      </c>
      <c r="F196" s="39">
        <f t="shared" ca="1" si="15"/>
        <v>57.210594034115445</v>
      </c>
      <c r="G196" s="42">
        <f t="shared" ca="1" si="16"/>
        <v>1688.107226989348</v>
      </c>
      <c r="H196" s="42">
        <f t="shared" ca="1" si="17"/>
        <v>1660.107226989348</v>
      </c>
      <c r="I196" s="42">
        <f t="shared" ca="1" si="18"/>
        <v>0</v>
      </c>
    </row>
    <row r="197" spans="5:9" x14ac:dyDescent="0.25">
      <c r="E197">
        <f t="shared" si="19"/>
        <v>187</v>
      </c>
      <c r="F197" s="39">
        <f t="shared" ca="1" si="15"/>
        <v>28.510810783329447</v>
      </c>
      <c r="G197" s="42">
        <f t="shared" ca="1" si="16"/>
        <v>855.81351271655399</v>
      </c>
      <c r="H197" s="42">
        <f t="shared" ca="1" si="17"/>
        <v>827.81351271655399</v>
      </c>
      <c r="I197" s="42">
        <f t="shared" ca="1" si="18"/>
        <v>0</v>
      </c>
    </row>
    <row r="198" spans="5:9" x14ac:dyDescent="0.25">
      <c r="E198">
        <f t="shared" si="19"/>
        <v>188</v>
      </c>
      <c r="F198" s="39">
        <f t="shared" ca="1" si="15"/>
        <v>73.504761921949139</v>
      </c>
      <c r="G198" s="42">
        <f t="shared" ca="1" si="16"/>
        <v>2160.638095736525</v>
      </c>
      <c r="H198" s="42">
        <f t="shared" ca="1" si="17"/>
        <v>2132.638095736525</v>
      </c>
      <c r="I198" s="42">
        <f t="shared" ca="1" si="18"/>
        <v>0</v>
      </c>
    </row>
    <row r="199" spans="5:9" x14ac:dyDescent="0.25">
      <c r="E199">
        <f t="shared" si="19"/>
        <v>189</v>
      </c>
      <c r="F199" s="39">
        <f t="shared" ca="1" si="15"/>
        <v>44.594171462387635</v>
      </c>
      <c r="G199" s="42">
        <f t="shared" ca="1" si="16"/>
        <v>1322.2309724092415</v>
      </c>
      <c r="H199" s="42">
        <f t="shared" ca="1" si="17"/>
        <v>1294.2309724092415</v>
      </c>
      <c r="I199" s="42">
        <f t="shared" ca="1" si="18"/>
        <v>0</v>
      </c>
    </row>
    <row r="200" spans="5:9" x14ac:dyDescent="0.25">
      <c r="E200">
        <f t="shared" si="19"/>
        <v>190</v>
      </c>
      <c r="F200" s="39">
        <f t="shared" ca="1" si="15"/>
        <v>75.703963015286419</v>
      </c>
      <c r="G200" s="42">
        <f t="shared" ca="1" si="16"/>
        <v>2224.4149274433062</v>
      </c>
      <c r="H200" s="42">
        <f t="shared" ca="1" si="17"/>
        <v>2196.4149274433062</v>
      </c>
      <c r="I200" s="42">
        <f t="shared" ca="1" si="18"/>
        <v>0</v>
      </c>
    </row>
    <row r="201" spans="5:9" x14ac:dyDescent="0.25">
      <c r="E201">
        <f t="shared" si="19"/>
        <v>191</v>
      </c>
      <c r="F201" s="39">
        <f t="shared" ca="1" si="15"/>
        <v>20.253634094973876</v>
      </c>
      <c r="G201" s="42">
        <f t="shared" ca="1" si="16"/>
        <v>616.35538875424243</v>
      </c>
      <c r="H201" s="42">
        <f t="shared" ca="1" si="17"/>
        <v>588.35538875424243</v>
      </c>
      <c r="I201" s="42">
        <f t="shared" ca="1" si="18"/>
        <v>0</v>
      </c>
    </row>
    <row r="202" spans="5:9" x14ac:dyDescent="0.25">
      <c r="E202">
        <f t="shared" si="19"/>
        <v>192</v>
      </c>
      <c r="F202" s="39">
        <f t="shared" ca="1" si="15"/>
        <v>-9.4638873709557245</v>
      </c>
      <c r="G202" s="42">
        <f t="shared" ca="1" si="16"/>
        <v>-245.452733757716</v>
      </c>
      <c r="H202" s="42">
        <f t="shared" ca="1" si="17"/>
        <v>-273.45273375771603</v>
      </c>
      <c r="I202" s="42">
        <f t="shared" ca="1" si="18"/>
        <v>0</v>
      </c>
    </row>
    <row r="203" spans="5:9" x14ac:dyDescent="0.25">
      <c r="E203">
        <f t="shared" si="19"/>
        <v>193</v>
      </c>
      <c r="F203" s="39">
        <f t="shared" ca="1" si="15"/>
        <v>72.29884444777376</v>
      </c>
      <c r="G203" s="42">
        <f t="shared" ca="1" si="16"/>
        <v>2125.6664889854392</v>
      </c>
      <c r="H203" s="42">
        <f t="shared" ca="1" si="17"/>
        <v>2097.6664889854392</v>
      </c>
      <c r="I203" s="42">
        <f t="shared" ca="1" si="18"/>
        <v>0</v>
      </c>
    </row>
    <row r="204" spans="5:9" x14ac:dyDescent="0.25">
      <c r="E204">
        <f t="shared" si="19"/>
        <v>194</v>
      </c>
      <c r="F204" s="39">
        <f t="shared" ref="F204:F267" ca="1" si="20">_xlfn.NORM.INV(RAND(),$E$45,$E$46)</f>
        <v>84.95892197245503</v>
      </c>
      <c r="G204" s="42">
        <f t="shared" ref="G204:G267" ca="1" si="21">$E$39*(1+F204)</f>
        <v>2492.808737201196</v>
      </c>
      <c r="H204" s="42">
        <f t="shared" ref="H204:H267" ca="1" si="22">MAX(G204-$E$38)</f>
        <v>2464.808737201196</v>
      </c>
      <c r="I204" s="42">
        <f t="shared" ref="I204:I267" ca="1" si="23">MAX($E$38-$H$43,0)</f>
        <v>0</v>
      </c>
    </row>
    <row r="205" spans="5:9" x14ac:dyDescent="0.25">
      <c r="E205">
        <f t="shared" ref="E205:E268" si="24">E204+1</f>
        <v>195</v>
      </c>
      <c r="F205" s="39">
        <f t="shared" ca="1" si="20"/>
        <v>17.762325126812158</v>
      </c>
      <c r="G205" s="42">
        <f t="shared" ca="1" si="21"/>
        <v>544.10742867755255</v>
      </c>
      <c r="H205" s="42">
        <f t="shared" ca="1" si="22"/>
        <v>516.10742867755255</v>
      </c>
      <c r="I205" s="42">
        <f t="shared" ca="1" si="23"/>
        <v>0</v>
      </c>
    </row>
    <row r="206" spans="5:9" x14ac:dyDescent="0.25">
      <c r="E206">
        <f t="shared" si="24"/>
        <v>196</v>
      </c>
      <c r="F206" s="39">
        <f t="shared" ca="1" si="20"/>
        <v>-9.5198187652108857</v>
      </c>
      <c r="G206" s="42">
        <f t="shared" ca="1" si="21"/>
        <v>-247.07474419111568</v>
      </c>
      <c r="H206" s="42">
        <f t="shared" ca="1" si="22"/>
        <v>-275.07474419111566</v>
      </c>
      <c r="I206" s="42">
        <f t="shared" ca="1" si="23"/>
        <v>0</v>
      </c>
    </row>
    <row r="207" spans="5:9" x14ac:dyDescent="0.25">
      <c r="E207">
        <f t="shared" si="24"/>
        <v>197</v>
      </c>
      <c r="F207" s="39">
        <f t="shared" ca="1" si="20"/>
        <v>97.505803822889874</v>
      </c>
      <c r="G207" s="42">
        <f t="shared" ca="1" si="21"/>
        <v>2856.6683108638063</v>
      </c>
      <c r="H207" s="42">
        <f t="shared" ca="1" si="22"/>
        <v>2828.6683108638063</v>
      </c>
      <c r="I207" s="42">
        <f t="shared" ca="1" si="23"/>
        <v>0</v>
      </c>
    </row>
    <row r="208" spans="5:9" x14ac:dyDescent="0.25">
      <c r="E208">
        <f t="shared" si="24"/>
        <v>198</v>
      </c>
      <c r="F208" s="39">
        <f t="shared" ca="1" si="20"/>
        <v>81.87646068354826</v>
      </c>
      <c r="G208" s="42">
        <f t="shared" ca="1" si="21"/>
        <v>2403.4173598228995</v>
      </c>
      <c r="H208" s="42">
        <f t="shared" ca="1" si="22"/>
        <v>2375.4173598228995</v>
      </c>
      <c r="I208" s="42">
        <f t="shared" ca="1" si="23"/>
        <v>0</v>
      </c>
    </row>
    <row r="209" spans="5:9" x14ac:dyDescent="0.25">
      <c r="E209">
        <f t="shared" si="24"/>
        <v>199</v>
      </c>
      <c r="F209" s="39">
        <f t="shared" ca="1" si="20"/>
        <v>0.18563741808004153</v>
      </c>
      <c r="G209" s="42">
        <f t="shared" ca="1" si="21"/>
        <v>34.383485124321204</v>
      </c>
      <c r="H209" s="42">
        <f t="shared" ca="1" si="22"/>
        <v>6.3834851243212043</v>
      </c>
      <c r="I209" s="42">
        <f t="shared" ca="1" si="23"/>
        <v>0</v>
      </c>
    </row>
    <row r="210" spans="5:9" x14ac:dyDescent="0.25">
      <c r="E210">
        <f t="shared" si="24"/>
        <v>200</v>
      </c>
      <c r="F210" s="39">
        <f t="shared" ca="1" si="20"/>
        <v>29.181795859621655</v>
      </c>
      <c r="G210" s="42">
        <f t="shared" ca="1" si="21"/>
        <v>875.272079929028</v>
      </c>
      <c r="H210" s="42">
        <f t="shared" ca="1" si="22"/>
        <v>847.272079929028</v>
      </c>
      <c r="I210" s="42">
        <f t="shared" ca="1" si="23"/>
        <v>0</v>
      </c>
    </row>
    <row r="211" spans="5:9" x14ac:dyDescent="0.25">
      <c r="E211">
        <f t="shared" si="24"/>
        <v>201</v>
      </c>
      <c r="F211" s="39">
        <f t="shared" ca="1" si="20"/>
        <v>-0.34235980928901455</v>
      </c>
      <c r="G211" s="42">
        <f t="shared" ca="1" si="21"/>
        <v>19.071565530618578</v>
      </c>
      <c r="H211" s="42">
        <f t="shared" ca="1" si="22"/>
        <v>-8.9284344693814219</v>
      </c>
      <c r="I211" s="42">
        <f t="shared" ca="1" si="23"/>
        <v>0</v>
      </c>
    </row>
    <row r="212" spans="5:9" x14ac:dyDescent="0.25">
      <c r="E212">
        <f t="shared" si="24"/>
        <v>202</v>
      </c>
      <c r="F212" s="39">
        <f t="shared" ca="1" si="20"/>
        <v>28.701367234242706</v>
      </c>
      <c r="G212" s="42">
        <f t="shared" ca="1" si="21"/>
        <v>861.33964979303846</v>
      </c>
      <c r="H212" s="42">
        <f t="shared" ca="1" si="22"/>
        <v>833.33964979303846</v>
      </c>
      <c r="I212" s="42">
        <f t="shared" ca="1" si="23"/>
        <v>0</v>
      </c>
    </row>
    <row r="213" spans="5:9" x14ac:dyDescent="0.25">
      <c r="E213">
        <f t="shared" si="24"/>
        <v>203</v>
      </c>
      <c r="F213" s="39">
        <f t="shared" ca="1" si="20"/>
        <v>32.492055165933699</v>
      </c>
      <c r="G213" s="42">
        <f t="shared" ca="1" si="21"/>
        <v>971.26959981207733</v>
      </c>
      <c r="H213" s="42">
        <f t="shared" ca="1" si="22"/>
        <v>943.26959981207733</v>
      </c>
      <c r="I213" s="42">
        <f t="shared" ca="1" si="23"/>
        <v>0</v>
      </c>
    </row>
    <row r="214" spans="5:9" x14ac:dyDescent="0.25">
      <c r="E214">
        <f t="shared" si="24"/>
        <v>204</v>
      </c>
      <c r="F214" s="39">
        <f t="shared" ca="1" si="20"/>
        <v>64.959973769143716</v>
      </c>
      <c r="G214" s="42">
        <f t="shared" ca="1" si="21"/>
        <v>1912.8392393051677</v>
      </c>
      <c r="H214" s="42">
        <f t="shared" ca="1" si="22"/>
        <v>1884.8392393051677</v>
      </c>
      <c r="I214" s="42">
        <f t="shared" ca="1" si="23"/>
        <v>0</v>
      </c>
    </row>
    <row r="215" spans="5:9" x14ac:dyDescent="0.25">
      <c r="E215">
        <f t="shared" si="24"/>
        <v>205</v>
      </c>
      <c r="F215" s="39">
        <f t="shared" ca="1" si="20"/>
        <v>70.827568959466788</v>
      </c>
      <c r="G215" s="42">
        <f t="shared" ca="1" si="21"/>
        <v>2082.999499824537</v>
      </c>
      <c r="H215" s="42">
        <f t="shared" ca="1" si="22"/>
        <v>2054.999499824537</v>
      </c>
      <c r="I215" s="42">
        <f t="shared" ca="1" si="23"/>
        <v>0</v>
      </c>
    </row>
    <row r="216" spans="5:9" x14ac:dyDescent="0.25">
      <c r="E216">
        <f t="shared" si="24"/>
        <v>206</v>
      </c>
      <c r="F216" s="39">
        <f t="shared" ca="1" si="20"/>
        <v>85.712929870018499</v>
      </c>
      <c r="G216" s="42">
        <f t="shared" ca="1" si="21"/>
        <v>2514.6749662305365</v>
      </c>
      <c r="H216" s="42">
        <f t="shared" ca="1" si="22"/>
        <v>2486.6749662305365</v>
      </c>
      <c r="I216" s="42">
        <f t="shared" ca="1" si="23"/>
        <v>0</v>
      </c>
    </row>
    <row r="217" spans="5:9" x14ac:dyDescent="0.25">
      <c r="E217">
        <f t="shared" si="24"/>
        <v>207</v>
      </c>
      <c r="F217" s="39">
        <f t="shared" ca="1" si="20"/>
        <v>58.005071584514319</v>
      </c>
      <c r="G217" s="42">
        <f t="shared" ca="1" si="21"/>
        <v>1711.1470759509152</v>
      </c>
      <c r="H217" s="42">
        <f t="shared" ca="1" si="22"/>
        <v>1683.1470759509152</v>
      </c>
      <c r="I217" s="42">
        <f t="shared" ca="1" si="23"/>
        <v>0</v>
      </c>
    </row>
    <row r="218" spans="5:9" x14ac:dyDescent="0.25">
      <c r="E218">
        <f t="shared" si="24"/>
        <v>208</v>
      </c>
      <c r="F218" s="39">
        <f t="shared" ca="1" si="20"/>
        <v>26.103850236782876</v>
      </c>
      <c r="G218" s="42">
        <f t="shared" ca="1" si="21"/>
        <v>786.01165686670333</v>
      </c>
      <c r="H218" s="42">
        <f t="shared" ca="1" si="22"/>
        <v>758.01165686670333</v>
      </c>
      <c r="I218" s="42">
        <f t="shared" ca="1" si="23"/>
        <v>0</v>
      </c>
    </row>
    <row r="219" spans="5:9" x14ac:dyDescent="0.25">
      <c r="E219">
        <f t="shared" si="24"/>
        <v>209</v>
      </c>
      <c r="F219" s="39">
        <f t="shared" ca="1" si="20"/>
        <v>76.163656960575139</v>
      </c>
      <c r="G219" s="42">
        <f t="shared" ca="1" si="21"/>
        <v>2237.7460518566791</v>
      </c>
      <c r="H219" s="42">
        <f t="shared" ca="1" si="22"/>
        <v>2209.7460518566791</v>
      </c>
      <c r="I219" s="42">
        <f t="shared" ca="1" si="23"/>
        <v>0</v>
      </c>
    </row>
    <row r="220" spans="5:9" x14ac:dyDescent="0.25">
      <c r="E220">
        <f t="shared" si="24"/>
        <v>210</v>
      </c>
      <c r="F220" s="39">
        <f t="shared" ca="1" si="20"/>
        <v>74.642038067339641</v>
      </c>
      <c r="G220" s="42">
        <f t="shared" ca="1" si="21"/>
        <v>2193.6191039528494</v>
      </c>
      <c r="H220" s="42">
        <f t="shared" ca="1" si="22"/>
        <v>2165.6191039528494</v>
      </c>
      <c r="I220" s="42">
        <f t="shared" ca="1" si="23"/>
        <v>0</v>
      </c>
    </row>
    <row r="221" spans="5:9" x14ac:dyDescent="0.25">
      <c r="E221">
        <f t="shared" si="24"/>
        <v>211</v>
      </c>
      <c r="F221" s="39">
        <f t="shared" ca="1" si="20"/>
        <v>36.948021932311676</v>
      </c>
      <c r="G221" s="42">
        <f t="shared" ca="1" si="21"/>
        <v>1100.4926360370387</v>
      </c>
      <c r="H221" s="42">
        <f t="shared" ca="1" si="22"/>
        <v>1072.4926360370387</v>
      </c>
      <c r="I221" s="42">
        <f t="shared" ca="1" si="23"/>
        <v>0</v>
      </c>
    </row>
    <row r="222" spans="5:9" x14ac:dyDescent="0.25">
      <c r="E222">
        <f t="shared" si="24"/>
        <v>212</v>
      </c>
      <c r="F222" s="39">
        <f t="shared" ca="1" si="20"/>
        <v>-0.53547993422266416</v>
      </c>
      <c r="G222" s="42">
        <f t="shared" ca="1" si="21"/>
        <v>13.471081907542739</v>
      </c>
      <c r="H222" s="42">
        <f t="shared" ca="1" si="22"/>
        <v>-14.528918092457261</v>
      </c>
      <c r="I222" s="42">
        <f t="shared" ca="1" si="23"/>
        <v>0</v>
      </c>
    </row>
    <row r="223" spans="5:9" x14ac:dyDescent="0.25">
      <c r="E223">
        <f t="shared" si="24"/>
        <v>213</v>
      </c>
      <c r="F223" s="39">
        <f t="shared" ca="1" si="20"/>
        <v>28.94730978174227</v>
      </c>
      <c r="G223" s="42">
        <f t="shared" ca="1" si="21"/>
        <v>868.47198367052579</v>
      </c>
      <c r="H223" s="42">
        <f t="shared" ca="1" si="22"/>
        <v>840.47198367052579</v>
      </c>
      <c r="I223" s="42">
        <f t="shared" ca="1" si="23"/>
        <v>0</v>
      </c>
    </row>
    <row r="224" spans="5:9" x14ac:dyDescent="0.25">
      <c r="E224">
        <f t="shared" si="24"/>
        <v>214</v>
      </c>
      <c r="F224" s="39">
        <f t="shared" ca="1" si="20"/>
        <v>75.528618678252684</v>
      </c>
      <c r="G224" s="42">
        <f t="shared" ca="1" si="21"/>
        <v>2219.329941669328</v>
      </c>
      <c r="H224" s="42">
        <f t="shared" ca="1" si="22"/>
        <v>2191.329941669328</v>
      </c>
      <c r="I224" s="42">
        <f t="shared" ca="1" si="23"/>
        <v>0</v>
      </c>
    </row>
    <row r="225" spans="5:9" x14ac:dyDescent="0.25">
      <c r="E225">
        <f t="shared" si="24"/>
        <v>215</v>
      </c>
      <c r="F225" s="39">
        <f t="shared" ca="1" si="20"/>
        <v>2.9037869429917507</v>
      </c>
      <c r="G225" s="42">
        <f t="shared" ca="1" si="21"/>
        <v>113.20982134676078</v>
      </c>
      <c r="H225" s="42">
        <f t="shared" ca="1" si="22"/>
        <v>85.209821346760776</v>
      </c>
      <c r="I225" s="42">
        <f t="shared" ca="1" si="23"/>
        <v>0</v>
      </c>
    </row>
    <row r="226" spans="5:9" x14ac:dyDescent="0.25">
      <c r="E226">
        <f t="shared" si="24"/>
        <v>216</v>
      </c>
      <c r="F226" s="39">
        <f t="shared" ca="1" si="20"/>
        <v>97.782740096330713</v>
      </c>
      <c r="G226" s="42">
        <f t="shared" ca="1" si="21"/>
        <v>2864.6994627935906</v>
      </c>
      <c r="H226" s="42">
        <f t="shared" ca="1" si="22"/>
        <v>2836.6994627935906</v>
      </c>
      <c r="I226" s="42">
        <f t="shared" ca="1" si="23"/>
        <v>0</v>
      </c>
    </row>
    <row r="227" spans="5:9" x14ac:dyDescent="0.25">
      <c r="E227">
        <f t="shared" si="24"/>
        <v>217</v>
      </c>
      <c r="F227" s="39">
        <f t="shared" ca="1" si="20"/>
        <v>0.44311530773356367</v>
      </c>
      <c r="G227" s="42">
        <f t="shared" ca="1" si="21"/>
        <v>41.850343924273346</v>
      </c>
      <c r="H227" s="42">
        <f t="shared" ca="1" si="22"/>
        <v>13.850343924273346</v>
      </c>
      <c r="I227" s="42">
        <f t="shared" ca="1" si="23"/>
        <v>0</v>
      </c>
    </row>
    <row r="228" spans="5:9" x14ac:dyDescent="0.25">
      <c r="E228">
        <f t="shared" si="24"/>
        <v>218</v>
      </c>
      <c r="F228" s="39">
        <f t="shared" ca="1" si="20"/>
        <v>0.80259607316933312</v>
      </c>
      <c r="G228" s="42">
        <f t="shared" ca="1" si="21"/>
        <v>52.275286121910661</v>
      </c>
      <c r="H228" s="42">
        <f t="shared" ca="1" si="22"/>
        <v>24.275286121910661</v>
      </c>
      <c r="I228" s="42">
        <f t="shared" ca="1" si="23"/>
        <v>0</v>
      </c>
    </row>
    <row r="229" spans="5:9" x14ac:dyDescent="0.25">
      <c r="E229">
        <f t="shared" si="24"/>
        <v>219</v>
      </c>
      <c r="F229" s="39">
        <f t="shared" ca="1" si="20"/>
        <v>68.478424970898146</v>
      </c>
      <c r="G229" s="42">
        <f t="shared" ca="1" si="21"/>
        <v>2014.8743241560462</v>
      </c>
      <c r="H229" s="42">
        <f t="shared" ca="1" si="22"/>
        <v>1986.8743241560462</v>
      </c>
      <c r="I229" s="42">
        <f t="shared" ca="1" si="23"/>
        <v>0</v>
      </c>
    </row>
    <row r="230" spans="5:9" x14ac:dyDescent="0.25">
      <c r="E230">
        <f t="shared" si="24"/>
        <v>220</v>
      </c>
      <c r="F230" s="39">
        <f t="shared" ca="1" si="20"/>
        <v>7.9581448847519312</v>
      </c>
      <c r="G230" s="42">
        <f t="shared" ca="1" si="21"/>
        <v>259.78620165780603</v>
      </c>
      <c r="H230" s="42">
        <f t="shared" ca="1" si="22"/>
        <v>231.78620165780603</v>
      </c>
      <c r="I230" s="42">
        <f t="shared" ca="1" si="23"/>
        <v>0</v>
      </c>
    </row>
    <row r="231" spans="5:9" x14ac:dyDescent="0.25">
      <c r="E231">
        <f t="shared" si="24"/>
        <v>221</v>
      </c>
      <c r="F231" s="39">
        <f t="shared" ca="1" si="20"/>
        <v>72.264498580358918</v>
      </c>
      <c r="G231" s="42">
        <f t="shared" ca="1" si="21"/>
        <v>2124.6704588304087</v>
      </c>
      <c r="H231" s="42">
        <f t="shared" ca="1" si="22"/>
        <v>2096.6704588304087</v>
      </c>
      <c r="I231" s="42">
        <f t="shared" ca="1" si="23"/>
        <v>0</v>
      </c>
    </row>
    <row r="232" spans="5:9" x14ac:dyDescent="0.25">
      <c r="E232">
        <f t="shared" si="24"/>
        <v>222</v>
      </c>
      <c r="F232" s="39">
        <f t="shared" ca="1" si="20"/>
        <v>51.357101074833153</v>
      </c>
      <c r="G232" s="42">
        <f t="shared" ca="1" si="21"/>
        <v>1518.3559311701615</v>
      </c>
      <c r="H232" s="42">
        <f t="shared" ca="1" si="22"/>
        <v>1490.3559311701615</v>
      </c>
      <c r="I232" s="42">
        <f t="shared" ca="1" si="23"/>
        <v>0</v>
      </c>
    </row>
    <row r="233" spans="5:9" x14ac:dyDescent="0.25">
      <c r="E233">
        <f t="shared" si="24"/>
        <v>223</v>
      </c>
      <c r="F233" s="39">
        <f t="shared" ca="1" si="20"/>
        <v>99.569756432479537</v>
      </c>
      <c r="G233" s="42">
        <f t="shared" ca="1" si="21"/>
        <v>2916.5229365419063</v>
      </c>
      <c r="H233" s="42">
        <f t="shared" ca="1" si="22"/>
        <v>2888.5229365419063</v>
      </c>
      <c r="I233" s="42">
        <f t="shared" ca="1" si="23"/>
        <v>0</v>
      </c>
    </row>
    <row r="234" spans="5:9" x14ac:dyDescent="0.25">
      <c r="E234">
        <f t="shared" si="24"/>
        <v>224</v>
      </c>
      <c r="F234" s="39">
        <f t="shared" ca="1" si="20"/>
        <v>45.652910586333519</v>
      </c>
      <c r="G234" s="42">
        <f t="shared" ca="1" si="21"/>
        <v>1352.934407003672</v>
      </c>
      <c r="H234" s="42">
        <f t="shared" ca="1" si="22"/>
        <v>1324.934407003672</v>
      </c>
      <c r="I234" s="42">
        <f t="shared" ca="1" si="23"/>
        <v>0</v>
      </c>
    </row>
    <row r="235" spans="5:9" x14ac:dyDescent="0.25">
      <c r="E235">
        <f t="shared" si="24"/>
        <v>225</v>
      </c>
      <c r="F235" s="39">
        <f t="shared" ca="1" si="20"/>
        <v>34.195064936336479</v>
      </c>
      <c r="G235" s="42">
        <f t="shared" ca="1" si="21"/>
        <v>1020.6568831537579</v>
      </c>
      <c r="H235" s="42">
        <f t="shared" ca="1" si="22"/>
        <v>992.65688315375792</v>
      </c>
      <c r="I235" s="42">
        <f t="shared" ca="1" si="23"/>
        <v>0</v>
      </c>
    </row>
    <row r="236" spans="5:9" x14ac:dyDescent="0.25">
      <c r="E236">
        <f t="shared" si="24"/>
        <v>226</v>
      </c>
      <c r="F236" s="39">
        <f t="shared" ca="1" si="20"/>
        <v>75.376062080225665</v>
      </c>
      <c r="G236" s="42">
        <f t="shared" ca="1" si="21"/>
        <v>2214.9058003265445</v>
      </c>
      <c r="H236" s="42">
        <f t="shared" ca="1" si="22"/>
        <v>2186.9058003265445</v>
      </c>
      <c r="I236" s="42">
        <f t="shared" ca="1" si="23"/>
        <v>0</v>
      </c>
    </row>
    <row r="237" spans="5:9" x14ac:dyDescent="0.25">
      <c r="E237">
        <f t="shared" si="24"/>
        <v>227</v>
      </c>
      <c r="F237" s="39">
        <f t="shared" ca="1" si="20"/>
        <v>13.171229624072637</v>
      </c>
      <c r="G237" s="42">
        <f t="shared" ca="1" si="21"/>
        <v>410.96565909810647</v>
      </c>
      <c r="H237" s="42">
        <f t="shared" ca="1" si="22"/>
        <v>382.96565909810647</v>
      </c>
      <c r="I237" s="42">
        <f t="shared" ca="1" si="23"/>
        <v>0</v>
      </c>
    </row>
    <row r="238" spans="5:9" x14ac:dyDescent="0.25">
      <c r="E238">
        <f t="shared" si="24"/>
        <v>228</v>
      </c>
      <c r="F238" s="39">
        <f t="shared" ca="1" si="20"/>
        <v>-31.237609754029577</v>
      </c>
      <c r="G238" s="42">
        <f t="shared" ca="1" si="21"/>
        <v>-876.89068286685779</v>
      </c>
      <c r="H238" s="42">
        <f t="shared" ca="1" si="22"/>
        <v>-904.89068286685779</v>
      </c>
      <c r="I238" s="42">
        <f t="shared" ca="1" si="23"/>
        <v>0</v>
      </c>
    </row>
    <row r="239" spans="5:9" x14ac:dyDescent="0.25">
      <c r="E239">
        <f t="shared" si="24"/>
        <v>229</v>
      </c>
      <c r="F239" s="39">
        <f t="shared" ca="1" si="20"/>
        <v>91.076317467525072</v>
      </c>
      <c r="G239" s="42">
        <f t="shared" ca="1" si="21"/>
        <v>2670.2132065582273</v>
      </c>
      <c r="H239" s="42">
        <f t="shared" ca="1" si="22"/>
        <v>2642.2132065582273</v>
      </c>
      <c r="I239" s="42">
        <f t="shared" ca="1" si="23"/>
        <v>0</v>
      </c>
    </row>
    <row r="240" spans="5:9" x14ac:dyDescent="0.25">
      <c r="E240">
        <f t="shared" si="24"/>
        <v>230</v>
      </c>
      <c r="F240" s="39">
        <f t="shared" ca="1" si="20"/>
        <v>10.887381742733126</v>
      </c>
      <c r="G240" s="42">
        <f t="shared" ca="1" si="21"/>
        <v>344.73407053926064</v>
      </c>
      <c r="H240" s="42">
        <f t="shared" ca="1" si="22"/>
        <v>316.73407053926064</v>
      </c>
      <c r="I240" s="42">
        <f t="shared" ca="1" si="23"/>
        <v>0</v>
      </c>
    </row>
    <row r="241" spans="5:9" x14ac:dyDescent="0.25">
      <c r="E241">
        <f t="shared" si="24"/>
        <v>231</v>
      </c>
      <c r="F241" s="39">
        <f t="shared" ca="1" si="20"/>
        <v>20.868888023748056</v>
      </c>
      <c r="G241" s="42">
        <f t="shared" ca="1" si="21"/>
        <v>634.19775268869364</v>
      </c>
      <c r="H241" s="42">
        <f t="shared" ca="1" si="22"/>
        <v>606.19775268869364</v>
      </c>
      <c r="I241" s="42">
        <f t="shared" ca="1" si="23"/>
        <v>0</v>
      </c>
    </row>
    <row r="242" spans="5:9" x14ac:dyDescent="0.25">
      <c r="E242">
        <f t="shared" si="24"/>
        <v>232</v>
      </c>
      <c r="F242" s="39">
        <f t="shared" ca="1" si="20"/>
        <v>108.61809186273679</v>
      </c>
      <c r="G242" s="42">
        <f t="shared" ca="1" si="21"/>
        <v>3178.9246640193669</v>
      </c>
      <c r="H242" s="42">
        <f t="shared" ca="1" si="22"/>
        <v>3150.9246640193669</v>
      </c>
      <c r="I242" s="42">
        <f t="shared" ca="1" si="23"/>
        <v>0</v>
      </c>
    </row>
    <row r="243" spans="5:9" x14ac:dyDescent="0.25">
      <c r="E243">
        <f t="shared" si="24"/>
        <v>233</v>
      </c>
      <c r="F243" s="39">
        <f t="shared" ca="1" si="20"/>
        <v>56.112262538702126</v>
      </c>
      <c r="G243" s="42">
        <f t="shared" ca="1" si="21"/>
        <v>1656.2556136223616</v>
      </c>
      <c r="H243" s="42">
        <f t="shared" ca="1" si="22"/>
        <v>1628.2556136223616</v>
      </c>
      <c r="I243" s="42">
        <f t="shared" ca="1" si="23"/>
        <v>0</v>
      </c>
    </row>
    <row r="244" spans="5:9" x14ac:dyDescent="0.25">
      <c r="E244">
        <f t="shared" si="24"/>
        <v>234</v>
      </c>
      <c r="F244" s="39">
        <f t="shared" ca="1" si="20"/>
        <v>13.513734831004527</v>
      </c>
      <c r="G244" s="42">
        <f t="shared" ca="1" si="21"/>
        <v>420.89831009913127</v>
      </c>
      <c r="H244" s="42">
        <f t="shared" ca="1" si="22"/>
        <v>392.89831009913127</v>
      </c>
      <c r="I244" s="42">
        <f t="shared" ca="1" si="23"/>
        <v>0</v>
      </c>
    </row>
    <row r="245" spans="5:9" x14ac:dyDescent="0.25">
      <c r="E245">
        <f t="shared" si="24"/>
        <v>235</v>
      </c>
      <c r="F245" s="39">
        <f t="shared" ca="1" si="20"/>
        <v>-17.392523152983138</v>
      </c>
      <c r="G245" s="42">
        <f t="shared" ca="1" si="21"/>
        <v>-475.38317143651102</v>
      </c>
      <c r="H245" s="42">
        <f t="shared" ca="1" si="22"/>
        <v>-503.38317143651102</v>
      </c>
      <c r="I245" s="42">
        <f t="shared" ca="1" si="23"/>
        <v>0</v>
      </c>
    </row>
    <row r="246" spans="5:9" x14ac:dyDescent="0.25">
      <c r="E246">
        <f t="shared" si="24"/>
        <v>236</v>
      </c>
      <c r="F246" s="39">
        <f t="shared" ca="1" si="20"/>
        <v>46.528122477077616</v>
      </c>
      <c r="G246" s="42">
        <f t="shared" ca="1" si="21"/>
        <v>1378.315551835251</v>
      </c>
      <c r="H246" s="42">
        <f t="shared" ca="1" si="22"/>
        <v>1350.315551835251</v>
      </c>
      <c r="I246" s="42">
        <f t="shared" ca="1" si="23"/>
        <v>0</v>
      </c>
    </row>
    <row r="247" spans="5:9" x14ac:dyDescent="0.25">
      <c r="E247">
        <f t="shared" si="24"/>
        <v>237</v>
      </c>
      <c r="F247" s="39">
        <f t="shared" ca="1" si="20"/>
        <v>66.351712770541496</v>
      </c>
      <c r="G247" s="42">
        <f t="shared" ca="1" si="21"/>
        <v>1953.1996703457035</v>
      </c>
      <c r="H247" s="42">
        <f t="shared" ca="1" si="22"/>
        <v>1925.1996703457035</v>
      </c>
      <c r="I247" s="42">
        <f t="shared" ca="1" si="23"/>
        <v>0</v>
      </c>
    </row>
    <row r="248" spans="5:9" x14ac:dyDescent="0.25">
      <c r="E248">
        <f t="shared" si="24"/>
        <v>238</v>
      </c>
      <c r="F248" s="39">
        <f t="shared" ca="1" si="20"/>
        <v>-2.396015737704694</v>
      </c>
      <c r="G248" s="42">
        <f t="shared" ca="1" si="21"/>
        <v>-40.484456393436126</v>
      </c>
      <c r="H248" s="42">
        <f t="shared" ca="1" si="22"/>
        <v>-68.484456393436119</v>
      </c>
      <c r="I248" s="42">
        <f t="shared" ca="1" si="23"/>
        <v>0</v>
      </c>
    </row>
    <row r="249" spans="5:9" x14ac:dyDescent="0.25">
      <c r="E249">
        <f t="shared" si="24"/>
        <v>239</v>
      </c>
      <c r="F249" s="39">
        <f t="shared" ca="1" si="20"/>
        <v>2.1575845751873288</v>
      </c>
      <c r="G249" s="42">
        <f t="shared" ca="1" si="21"/>
        <v>91.569952680432536</v>
      </c>
      <c r="H249" s="42">
        <f t="shared" ca="1" si="22"/>
        <v>63.569952680432536</v>
      </c>
      <c r="I249" s="42">
        <f t="shared" ca="1" si="23"/>
        <v>0</v>
      </c>
    </row>
    <row r="250" spans="5:9" x14ac:dyDescent="0.25">
      <c r="E250">
        <f t="shared" si="24"/>
        <v>240</v>
      </c>
      <c r="F250" s="39">
        <f t="shared" ca="1" si="20"/>
        <v>47.893180701687072</v>
      </c>
      <c r="G250" s="42">
        <f t="shared" ca="1" si="21"/>
        <v>1417.902240348925</v>
      </c>
      <c r="H250" s="42">
        <f t="shared" ca="1" si="22"/>
        <v>1389.902240348925</v>
      </c>
      <c r="I250" s="42">
        <f t="shared" ca="1" si="23"/>
        <v>0</v>
      </c>
    </row>
    <row r="251" spans="5:9" x14ac:dyDescent="0.25">
      <c r="E251">
        <f t="shared" si="24"/>
        <v>241</v>
      </c>
      <c r="F251" s="39">
        <f t="shared" ca="1" si="20"/>
        <v>83.654847402570923</v>
      </c>
      <c r="G251" s="42">
        <f t="shared" ca="1" si="21"/>
        <v>2454.9905746745567</v>
      </c>
      <c r="H251" s="42">
        <f t="shared" ca="1" si="22"/>
        <v>2426.9905746745567</v>
      </c>
      <c r="I251" s="42">
        <f t="shared" ca="1" si="23"/>
        <v>0</v>
      </c>
    </row>
    <row r="252" spans="5:9" x14ac:dyDescent="0.25">
      <c r="E252">
        <f t="shared" si="24"/>
        <v>242</v>
      </c>
      <c r="F252" s="39">
        <f t="shared" ca="1" si="20"/>
        <v>68.478147900019792</v>
      </c>
      <c r="G252" s="42">
        <f t="shared" ca="1" si="21"/>
        <v>2014.866289100574</v>
      </c>
      <c r="H252" s="42">
        <f t="shared" ca="1" si="22"/>
        <v>1986.866289100574</v>
      </c>
      <c r="I252" s="42">
        <f t="shared" ca="1" si="23"/>
        <v>0</v>
      </c>
    </row>
    <row r="253" spans="5:9" x14ac:dyDescent="0.25">
      <c r="E253">
        <f t="shared" si="24"/>
        <v>243</v>
      </c>
      <c r="F253" s="39">
        <f t="shared" ca="1" si="20"/>
        <v>55.907796019887037</v>
      </c>
      <c r="G253" s="42">
        <f t="shared" ca="1" si="21"/>
        <v>1650.326084576724</v>
      </c>
      <c r="H253" s="42">
        <f t="shared" ca="1" si="22"/>
        <v>1622.326084576724</v>
      </c>
      <c r="I253" s="42">
        <f t="shared" ca="1" si="23"/>
        <v>0</v>
      </c>
    </row>
    <row r="254" spans="5:9" x14ac:dyDescent="0.25">
      <c r="E254">
        <f t="shared" si="24"/>
        <v>244</v>
      </c>
      <c r="F254" s="39">
        <f t="shared" ca="1" si="20"/>
        <v>54.075503274794286</v>
      </c>
      <c r="G254" s="42">
        <f t="shared" ca="1" si="21"/>
        <v>1597.1895949690343</v>
      </c>
      <c r="H254" s="42">
        <f t="shared" ca="1" si="22"/>
        <v>1569.1895949690343</v>
      </c>
      <c r="I254" s="42">
        <f t="shared" ca="1" si="23"/>
        <v>0</v>
      </c>
    </row>
    <row r="255" spans="5:9" x14ac:dyDescent="0.25">
      <c r="E255">
        <f t="shared" si="24"/>
        <v>245</v>
      </c>
      <c r="F255" s="39">
        <f t="shared" ca="1" si="20"/>
        <v>50.77192167958529</v>
      </c>
      <c r="G255" s="42">
        <f t="shared" ca="1" si="21"/>
        <v>1501.3857287079734</v>
      </c>
      <c r="H255" s="42">
        <f t="shared" ca="1" si="22"/>
        <v>1473.3857287079734</v>
      </c>
      <c r="I255" s="42">
        <f t="shared" ca="1" si="23"/>
        <v>0</v>
      </c>
    </row>
    <row r="256" spans="5:9" x14ac:dyDescent="0.25">
      <c r="E256">
        <f t="shared" si="24"/>
        <v>246</v>
      </c>
      <c r="F256" s="39">
        <f t="shared" ca="1" si="20"/>
        <v>82.157805738909929</v>
      </c>
      <c r="G256" s="42">
        <f t="shared" ca="1" si="21"/>
        <v>2411.5763664283877</v>
      </c>
      <c r="H256" s="42">
        <f t="shared" ca="1" si="22"/>
        <v>2383.5763664283877</v>
      </c>
      <c r="I256" s="42">
        <f t="shared" ca="1" si="23"/>
        <v>0</v>
      </c>
    </row>
    <row r="257" spans="5:9" x14ac:dyDescent="0.25">
      <c r="E257">
        <f t="shared" si="24"/>
        <v>247</v>
      </c>
      <c r="F257" s="39">
        <f t="shared" ca="1" si="20"/>
        <v>-4.5889748540689439</v>
      </c>
      <c r="G257" s="42">
        <f t="shared" ca="1" si="21"/>
        <v>-104.08027076799937</v>
      </c>
      <c r="H257" s="42">
        <f t="shared" ca="1" si="22"/>
        <v>-132.08027076799937</v>
      </c>
      <c r="I257" s="42">
        <f t="shared" ca="1" si="23"/>
        <v>0</v>
      </c>
    </row>
    <row r="258" spans="5:9" x14ac:dyDescent="0.25">
      <c r="E258">
        <f t="shared" si="24"/>
        <v>248</v>
      </c>
      <c r="F258" s="39">
        <f t="shared" ca="1" si="20"/>
        <v>94.477851259555734</v>
      </c>
      <c r="G258" s="42">
        <f t="shared" ca="1" si="21"/>
        <v>2768.8576865271161</v>
      </c>
      <c r="H258" s="42">
        <f t="shared" ca="1" si="22"/>
        <v>2740.8576865271161</v>
      </c>
      <c r="I258" s="42">
        <f t="shared" ca="1" si="23"/>
        <v>0</v>
      </c>
    </row>
    <row r="259" spans="5:9" x14ac:dyDescent="0.25">
      <c r="E259">
        <f t="shared" si="24"/>
        <v>249</v>
      </c>
      <c r="F259" s="39">
        <f t="shared" ca="1" si="20"/>
        <v>40.546744268734166</v>
      </c>
      <c r="G259" s="42">
        <f t="shared" ca="1" si="21"/>
        <v>1204.8555837932909</v>
      </c>
      <c r="H259" s="42">
        <f t="shared" ca="1" si="22"/>
        <v>1176.8555837932909</v>
      </c>
      <c r="I259" s="42">
        <f t="shared" ca="1" si="23"/>
        <v>0</v>
      </c>
    </row>
    <row r="260" spans="5:9" x14ac:dyDescent="0.25">
      <c r="E260">
        <f t="shared" si="24"/>
        <v>250</v>
      </c>
      <c r="F260" s="39">
        <f t="shared" ca="1" si="20"/>
        <v>-12.601503244761311</v>
      </c>
      <c r="G260" s="42">
        <f t="shared" ca="1" si="21"/>
        <v>-336.44359409807799</v>
      </c>
      <c r="H260" s="42">
        <f t="shared" ca="1" si="22"/>
        <v>-364.44359409807799</v>
      </c>
      <c r="I260" s="42">
        <f t="shared" ca="1" si="23"/>
        <v>0</v>
      </c>
    </row>
    <row r="261" spans="5:9" x14ac:dyDescent="0.25">
      <c r="E261">
        <f t="shared" si="24"/>
        <v>251</v>
      </c>
      <c r="F261" s="39">
        <f t="shared" ca="1" si="20"/>
        <v>3.3859050370465233</v>
      </c>
      <c r="G261" s="42">
        <f t="shared" ca="1" si="21"/>
        <v>127.19124607434918</v>
      </c>
      <c r="H261" s="42">
        <f t="shared" ca="1" si="22"/>
        <v>99.191246074349181</v>
      </c>
      <c r="I261" s="42">
        <f t="shared" ca="1" si="23"/>
        <v>0</v>
      </c>
    </row>
    <row r="262" spans="5:9" x14ac:dyDescent="0.25">
      <c r="E262">
        <f t="shared" si="24"/>
        <v>252</v>
      </c>
      <c r="F262" s="39">
        <f t="shared" ca="1" si="20"/>
        <v>8.0407618079381784</v>
      </c>
      <c r="G262" s="42">
        <f t="shared" ca="1" si="21"/>
        <v>262.18209243020715</v>
      </c>
      <c r="H262" s="42">
        <f t="shared" ca="1" si="22"/>
        <v>234.18209243020715</v>
      </c>
      <c r="I262" s="42">
        <f t="shared" ca="1" si="23"/>
        <v>0</v>
      </c>
    </row>
    <row r="263" spans="5:9" x14ac:dyDescent="0.25">
      <c r="E263">
        <f t="shared" si="24"/>
        <v>253</v>
      </c>
      <c r="F263" s="39">
        <f t="shared" ca="1" si="20"/>
        <v>15.63142164712669</v>
      </c>
      <c r="G263" s="42">
        <f t="shared" ca="1" si="21"/>
        <v>482.31122776667399</v>
      </c>
      <c r="H263" s="42">
        <f t="shared" ca="1" si="22"/>
        <v>454.31122776667399</v>
      </c>
      <c r="I263" s="42">
        <f t="shared" ca="1" si="23"/>
        <v>0</v>
      </c>
    </row>
    <row r="264" spans="5:9" x14ac:dyDescent="0.25">
      <c r="E264">
        <f t="shared" si="24"/>
        <v>254</v>
      </c>
      <c r="F264" s="39">
        <f t="shared" ca="1" si="20"/>
        <v>21.830063477326888</v>
      </c>
      <c r="G264" s="42">
        <f t="shared" ca="1" si="21"/>
        <v>662.07184084247979</v>
      </c>
      <c r="H264" s="42">
        <f t="shared" ca="1" si="22"/>
        <v>634.07184084247979</v>
      </c>
      <c r="I264" s="42">
        <f t="shared" ca="1" si="23"/>
        <v>0</v>
      </c>
    </row>
    <row r="265" spans="5:9" x14ac:dyDescent="0.25">
      <c r="E265">
        <f t="shared" si="24"/>
        <v>255</v>
      </c>
      <c r="F265" s="39">
        <f t="shared" ca="1" si="20"/>
        <v>42.690616597153429</v>
      </c>
      <c r="G265" s="42">
        <f t="shared" ca="1" si="21"/>
        <v>1267.0278813174496</v>
      </c>
      <c r="H265" s="42">
        <f t="shared" ca="1" si="22"/>
        <v>1239.0278813174496</v>
      </c>
      <c r="I265" s="42">
        <f t="shared" ca="1" si="23"/>
        <v>0</v>
      </c>
    </row>
    <row r="266" spans="5:9" x14ac:dyDescent="0.25">
      <c r="E266">
        <f t="shared" si="24"/>
        <v>256</v>
      </c>
      <c r="F266" s="39">
        <f t="shared" ca="1" si="20"/>
        <v>-31.869628970103292</v>
      </c>
      <c r="G266" s="42">
        <f t="shared" ca="1" si="21"/>
        <v>-895.21924013299554</v>
      </c>
      <c r="H266" s="42">
        <f t="shared" ca="1" si="22"/>
        <v>-923.21924013299554</v>
      </c>
      <c r="I266" s="42">
        <f t="shared" ca="1" si="23"/>
        <v>0</v>
      </c>
    </row>
    <row r="267" spans="5:9" x14ac:dyDescent="0.25">
      <c r="E267">
        <f t="shared" si="24"/>
        <v>257</v>
      </c>
      <c r="F267" s="39">
        <f t="shared" ca="1" si="20"/>
        <v>55.588745778967592</v>
      </c>
      <c r="G267" s="42">
        <f t="shared" ca="1" si="21"/>
        <v>1641.0736275900601</v>
      </c>
      <c r="H267" s="42">
        <f t="shared" ca="1" si="22"/>
        <v>1613.0736275900601</v>
      </c>
      <c r="I267" s="42">
        <f t="shared" ca="1" si="23"/>
        <v>0</v>
      </c>
    </row>
    <row r="268" spans="5:9" x14ac:dyDescent="0.25">
      <c r="E268">
        <f t="shared" si="24"/>
        <v>258</v>
      </c>
      <c r="F268" s="39">
        <f t="shared" ref="F268:F331" ca="1" si="25">_xlfn.NORM.INV(RAND(),$E$45,$E$46)</f>
        <v>87.245442738682428</v>
      </c>
      <c r="G268" s="42">
        <f t="shared" ref="G268:G331" ca="1" si="26">$E$39*(1+F268)</f>
        <v>2559.1178394217904</v>
      </c>
      <c r="H268" s="42">
        <f t="shared" ref="H268:H331" ca="1" si="27">MAX(G268-$E$38)</f>
        <v>2531.1178394217904</v>
      </c>
      <c r="I268" s="42">
        <f t="shared" ref="I268:I331" ca="1" si="28">MAX($E$38-$H$43,0)</f>
        <v>0</v>
      </c>
    </row>
    <row r="269" spans="5:9" x14ac:dyDescent="0.25">
      <c r="E269">
        <f t="shared" ref="E269:E332" si="29">E268+1</f>
        <v>259</v>
      </c>
      <c r="F269" s="39">
        <f t="shared" ca="1" si="25"/>
        <v>-30.395164181357771</v>
      </c>
      <c r="G269" s="42">
        <f t="shared" ca="1" si="26"/>
        <v>-852.45976125937534</v>
      </c>
      <c r="H269" s="42">
        <f t="shared" ca="1" si="27"/>
        <v>-880.45976125937534</v>
      </c>
      <c r="I269" s="42">
        <f t="shared" ca="1" si="28"/>
        <v>0</v>
      </c>
    </row>
    <row r="270" spans="5:9" x14ac:dyDescent="0.25">
      <c r="E270">
        <f t="shared" si="29"/>
        <v>260</v>
      </c>
      <c r="F270" s="39">
        <f t="shared" ca="1" si="25"/>
        <v>33.33939176280348</v>
      </c>
      <c r="G270" s="42">
        <f t="shared" ca="1" si="26"/>
        <v>995.84236112130088</v>
      </c>
      <c r="H270" s="42">
        <f t="shared" ca="1" si="27"/>
        <v>967.84236112130088</v>
      </c>
      <c r="I270" s="42">
        <f t="shared" ca="1" si="28"/>
        <v>0</v>
      </c>
    </row>
    <row r="271" spans="5:9" x14ac:dyDescent="0.25">
      <c r="E271">
        <f t="shared" si="29"/>
        <v>261</v>
      </c>
      <c r="F271" s="39">
        <f t="shared" ca="1" si="25"/>
        <v>-7.6191397059266421</v>
      </c>
      <c r="G271" s="42">
        <f t="shared" ca="1" si="26"/>
        <v>-191.95505147187262</v>
      </c>
      <c r="H271" s="42">
        <f t="shared" ca="1" si="27"/>
        <v>-219.95505147187262</v>
      </c>
      <c r="I271" s="42">
        <f t="shared" ca="1" si="28"/>
        <v>0</v>
      </c>
    </row>
    <row r="272" spans="5:9" x14ac:dyDescent="0.25">
      <c r="E272">
        <f t="shared" si="29"/>
        <v>262</v>
      </c>
      <c r="F272" s="39">
        <f t="shared" ca="1" si="25"/>
        <v>11.688833463363398</v>
      </c>
      <c r="G272" s="42">
        <f t="shared" ca="1" si="26"/>
        <v>367.97617043753854</v>
      </c>
      <c r="H272" s="42">
        <f t="shared" ca="1" si="27"/>
        <v>339.97617043753854</v>
      </c>
      <c r="I272" s="42">
        <f t="shared" ca="1" si="28"/>
        <v>0</v>
      </c>
    </row>
    <row r="273" spans="5:9" x14ac:dyDescent="0.25">
      <c r="E273">
        <f t="shared" si="29"/>
        <v>263</v>
      </c>
      <c r="F273" s="39">
        <f t="shared" ca="1" si="25"/>
        <v>15.290521980198562</v>
      </c>
      <c r="G273" s="42">
        <f t="shared" ca="1" si="26"/>
        <v>472.42513742575829</v>
      </c>
      <c r="H273" s="42">
        <f t="shared" ca="1" si="27"/>
        <v>444.42513742575829</v>
      </c>
      <c r="I273" s="42">
        <f t="shared" ca="1" si="28"/>
        <v>0</v>
      </c>
    </row>
    <row r="274" spans="5:9" x14ac:dyDescent="0.25">
      <c r="E274">
        <f t="shared" si="29"/>
        <v>264</v>
      </c>
      <c r="F274" s="39">
        <f t="shared" ca="1" si="25"/>
        <v>52.01763884069004</v>
      </c>
      <c r="G274" s="42">
        <f t="shared" ca="1" si="26"/>
        <v>1537.5115263800112</v>
      </c>
      <c r="H274" s="42">
        <f t="shared" ca="1" si="27"/>
        <v>1509.5115263800112</v>
      </c>
      <c r="I274" s="42">
        <f t="shared" ca="1" si="28"/>
        <v>0</v>
      </c>
    </row>
    <row r="275" spans="5:9" x14ac:dyDescent="0.25">
      <c r="E275">
        <f t="shared" si="29"/>
        <v>265</v>
      </c>
      <c r="F275" s="39">
        <f t="shared" ca="1" si="25"/>
        <v>15.73791596630301</v>
      </c>
      <c r="G275" s="42">
        <f t="shared" ca="1" si="26"/>
        <v>485.39956302278728</v>
      </c>
      <c r="H275" s="42">
        <f t="shared" ca="1" si="27"/>
        <v>457.39956302278728</v>
      </c>
      <c r="I275" s="42">
        <f t="shared" ca="1" si="28"/>
        <v>0</v>
      </c>
    </row>
    <row r="276" spans="5:9" x14ac:dyDescent="0.25">
      <c r="E276">
        <f t="shared" si="29"/>
        <v>266</v>
      </c>
      <c r="F276" s="39">
        <f t="shared" ca="1" si="25"/>
        <v>-27.311102784829764</v>
      </c>
      <c r="G276" s="42">
        <f t="shared" ca="1" si="26"/>
        <v>-763.02198076006312</v>
      </c>
      <c r="H276" s="42">
        <f t="shared" ca="1" si="27"/>
        <v>-791.02198076006312</v>
      </c>
      <c r="I276" s="42">
        <f t="shared" ca="1" si="28"/>
        <v>0</v>
      </c>
    </row>
    <row r="277" spans="5:9" x14ac:dyDescent="0.25">
      <c r="E277">
        <f t="shared" si="29"/>
        <v>267</v>
      </c>
      <c r="F277" s="39">
        <f t="shared" ca="1" si="25"/>
        <v>48.107622474887314</v>
      </c>
      <c r="G277" s="42">
        <f t="shared" ca="1" si="26"/>
        <v>1424.121051771732</v>
      </c>
      <c r="H277" s="42">
        <f t="shared" ca="1" si="27"/>
        <v>1396.121051771732</v>
      </c>
      <c r="I277" s="42">
        <f t="shared" ca="1" si="28"/>
        <v>0</v>
      </c>
    </row>
    <row r="278" spans="5:9" x14ac:dyDescent="0.25">
      <c r="E278">
        <f t="shared" si="29"/>
        <v>268</v>
      </c>
      <c r="F278" s="39">
        <f t="shared" ca="1" si="25"/>
        <v>58.557479022549643</v>
      </c>
      <c r="G278" s="42">
        <f t="shared" ca="1" si="26"/>
        <v>1727.1668916539397</v>
      </c>
      <c r="H278" s="42">
        <f t="shared" ca="1" si="27"/>
        <v>1699.1668916539397</v>
      </c>
      <c r="I278" s="42">
        <f t="shared" ca="1" si="28"/>
        <v>0</v>
      </c>
    </row>
    <row r="279" spans="5:9" x14ac:dyDescent="0.25">
      <c r="E279">
        <f t="shared" si="29"/>
        <v>269</v>
      </c>
      <c r="F279" s="39">
        <f t="shared" ca="1" si="25"/>
        <v>30.347886728804589</v>
      </c>
      <c r="G279" s="42">
        <f t="shared" ca="1" si="26"/>
        <v>909.08871513533313</v>
      </c>
      <c r="H279" s="42">
        <f t="shared" ca="1" si="27"/>
        <v>881.08871513533313</v>
      </c>
      <c r="I279" s="42">
        <f t="shared" ca="1" si="28"/>
        <v>0</v>
      </c>
    </row>
    <row r="280" spans="5:9" x14ac:dyDescent="0.25">
      <c r="E280">
        <f t="shared" si="29"/>
        <v>270</v>
      </c>
      <c r="F280" s="39">
        <f t="shared" ca="1" si="25"/>
        <v>7.8597680776511574</v>
      </c>
      <c r="G280" s="42">
        <f t="shared" ca="1" si="26"/>
        <v>256.93327425188357</v>
      </c>
      <c r="H280" s="42">
        <f t="shared" ca="1" si="27"/>
        <v>228.93327425188357</v>
      </c>
      <c r="I280" s="42">
        <f t="shared" ca="1" si="28"/>
        <v>0</v>
      </c>
    </row>
    <row r="281" spans="5:9" x14ac:dyDescent="0.25">
      <c r="E281">
        <f t="shared" si="29"/>
        <v>271</v>
      </c>
      <c r="F281" s="39">
        <f t="shared" ca="1" si="25"/>
        <v>34.826962517201196</v>
      </c>
      <c r="G281" s="42">
        <f t="shared" ca="1" si="26"/>
        <v>1038.9819129988346</v>
      </c>
      <c r="H281" s="42">
        <f t="shared" ca="1" si="27"/>
        <v>1010.9819129988346</v>
      </c>
      <c r="I281" s="42">
        <f t="shared" ca="1" si="28"/>
        <v>0</v>
      </c>
    </row>
    <row r="282" spans="5:9" x14ac:dyDescent="0.25">
      <c r="E282">
        <f t="shared" si="29"/>
        <v>272</v>
      </c>
      <c r="F282" s="39">
        <f t="shared" ca="1" si="25"/>
        <v>53.378084409089332</v>
      </c>
      <c r="G282" s="42">
        <f t="shared" ca="1" si="26"/>
        <v>1576.9644478635907</v>
      </c>
      <c r="H282" s="42">
        <f t="shared" ca="1" si="27"/>
        <v>1548.9644478635907</v>
      </c>
      <c r="I282" s="42">
        <f t="shared" ca="1" si="28"/>
        <v>0</v>
      </c>
    </row>
    <row r="283" spans="5:9" x14ac:dyDescent="0.25">
      <c r="E283">
        <f t="shared" si="29"/>
        <v>273</v>
      </c>
      <c r="F283" s="39">
        <f t="shared" ca="1" si="25"/>
        <v>116.46378594433654</v>
      </c>
      <c r="G283" s="42">
        <f t="shared" ca="1" si="26"/>
        <v>3406.4497923857593</v>
      </c>
      <c r="H283" s="42">
        <f t="shared" ca="1" si="27"/>
        <v>3378.4497923857593</v>
      </c>
      <c r="I283" s="42">
        <f t="shared" ca="1" si="28"/>
        <v>0</v>
      </c>
    </row>
    <row r="284" spans="5:9" x14ac:dyDescent="0.25">
      <c r="E284">
        <f t="shared" si="29"/>
        <v>274</v>
      </c>
      <c r="F284" s="39">
        <f t="shared" ca="1" si="25"/>
        <v>48.851771081104808</v>
      </c>
      <c r="G284" s="42">
        <f t="shared" ca="1" si="26"/>
        <v>1445.7013613520394</v>
      </c>
      <c r="H284" s="42">
        <f t="shared" ca="1" si="27"/>
        <v>1417.7013613520394</v>
      </c>
      <c r="I284" s="42">
        <f t="shared" ca="1" si="28"/>
        <v>0</v>
      </c>
    </row>
    <row r="285" spans="5:9" x14ac:dyDescent="0.25">
      <c r="E285">
        <f t="shared" si="29"/>
        <v>275</v>
      </c>
      <c r="F285" s="39">
        <f t="shared" ca="1" si="25"/>
        <v>8.8496244581596208</v>
      </c>
      <c r="G285" s="42">
        <f t="shared" ca="1" si="26"/>
        <v>285.63910928662898</v>
      </c>
      <c r="H285" s="42">
        <f t="shared" ca="1" si="27"/>
        <v>257.63910928662898</v>
      </c>
      <c r="I285" s="42">
        <f t="shared" ca="1" si="28"/>
        <v>0</v>
      </c>
    </row>
    <row r="286" spans="5:9" x14ac:dyDescent="0.25">
      <c r="E286">
        <f t="shared" si="29"/>
        <v>276</v>
      </c>
      <c r="F286" s="39">
        <f t="shared" ca="1" si="25"/>
        <v>27.088218075520793</v>
      </c>
      <c r="G286" s="42">
        <f t="shared" ca="1" si="26"/>
        <v>814.55832419010301</v>
      </c>
      <c r="H286" s="42">
        <f t="shared" ca="1" si="27"/>
        <v>786.55832419010301</v>
      </c>
      <c r="I286" s="42">
        <f t="shared" ca="1" si="28"/>
        <v>0</v>
      </c>
    </row>
    <row r="287" spans="5:9" x14ac:dyDescent="0.25">
      <c r="E287">
        <f t="shared" si="29"/>
        <v>277</v>
      </c>
      <c r="F287" s="39">
        <f t="shared" ca="1" si="25"/>
        <v>37.698623068232081</v>
      </c>
      <c r="G287" s="42">
        <f t="shared" ca="1" si="26"/>
        <v>1122.2600689787303</v>
      </c>
      <c r="H287" s="42">
        <f t="shared" ca="1" si="27"/>
        <v>1094.2600689787303</v>
      </c>
      <c r="I287" s="42">
        <f t="shared" ca="1" si="28"/>
        <v>0</v>
      </c>
    </row>
    <row r="288" spans="5:9" x14ac:dyDescent="0.25">
      <c r="E288">
        <f t="shared" si="29"/>
        <v>278</v>
      </c>
      <c r="F288" s="39">
        <f t="shared" ca="1" si="25"/>
        <v>4.3156499216830078</v>
      </c>
      <c r="G288" s="42">
        <f t="shared" ca="1" si="26"/>
        <v>154.15384772880722</v>
      </c>
      <c r="H288" s="42">
        <f t="shared" ca="1" si="27"/>
        <v>126.15384772880722</v>
      </c>
      <c r="I288" s="42">
        <f t="shared" ca="1" si="28"/>
        <v>0</v>
      </c>
    </row>
    <row r="289" spans="5:9" x14ac:dyDescent="0.25">
      <c r="E289">
        <f t="shared" si="29"/>
        <v>279</v>
      </c>
      <c r="F289" s="39">
        <f t="shared" ca="1" si="25"/>
        <v>112.52284152069409</v>
      </c>
      <c r="G289" s="42">
        <f t="shared" ca="1" si="26"/>
        <v>3292.1624041001287</v>
      </c>
      <c r="H289" s="42">
        <f t="shared" ca="1" si="27"/>
        <v>3264.1624041001287</v>
      </c>
      <c r="I289" s="42">
        <f t="shared" ca="1" si="28"/>
        <v>0</v>
      </c>
    </row>
    <row r="290" spans="5:9" x14ac:dyDescent="0.25">
      <c r="E290">
        <f t="shared" si="29"/>
        <v>280</v>
      </c>
      <c r="F290" s="39">
        <f t="shared" ca="1" si="25"/>
        <v>26.175275632817609</v>
      </c>
      <c r="G290" s="42">
        <f t="shared" ca="1" si="26"/>
        <v>788.08299335171068</v>
      </c>
      <c r="H290" s="42">
        <f t="shared" ca="1" si="27"/>
        <v>760.08299335171068</v>
      </c>
      <c r="I290" s="42">
        <f t="shared" ca="1" si="28"/>
        <v>0</v>
      </c>
    </row>
    <row r="291" spans="5:9" x14ac:dyDescent="0.25">
      <c r="E291">
        <f t="shared" si="29"/>
        <v>281</v>
      </c>
      <c r="F291" s="39">
        <f t="shared" ca="1" si="25"/>
        <v>61.280882727386121</v>
      </c>
      <c r="G291" s="42">
        <f t="shared" ca="1" si="26"/>
        <v>1806.1455990941975</v>
      </c>
      <c r="H291" s="42">
        <f t="shared" ca="1" si="27"/>
        <v>1778.1455990941975</v>
      </c>
      <c r="I291" s="42">
        <f t="shared" ca="1" si="28"/>
        <v>0</v>
      </c>
    </row>
    <row r="292" spans="5:9" x14ac:dyDescent="0.25">
      <c r="E292">
        <f t="shared" si="29"/>
        <v>282</v>
      </c>
      <c r="F292" s="39">
        <f t="shared" ca="1" si="25"/>
        <v>57.002058117540258</v>
      </c>
      <c r="G292" s="42">
        <f t="shared" ca="1" si="26"/>
        <v>1682.0596854086675</v>
      </c>
      <c r="H292" s="42">
        <f t="shared" ca="1" si="27"/>
        <v>1654.0596854086675</v>
      </c>
      <c r="I292" s="42">
        <f t="shared" ca="1" si="28"/>
        <v>0</v>
      </c>
    </row>
    <row r="293" spans="5:9" x14ac:dyDescent="0.25">
      <c r="E293">
        <f t="shared" si="29"/>
        <v>283</v>
      </c>
      <c r="F293" s="39">
        <f t="shared" ca="1" si="25"/>
        <v>20.508617333159791</v>
      </c>
      <c r="G293" s="42">
        <f t="shared" ca="1" si="26"/>
        <v>623.74990266163388</v>
      </c>
      <c r="H293" s="42">
        <f t="shared" ca="1" si="27"/>
        <v>595.74990266163388</v>
      </c>
      <c r="I293" s="42">
        <f t="shared" ca="1" si="28"/>
        <v>0</v>
      </c>
    </row>
    <row r="294" spans="5:9" x14ac:dyDescent="0.25">
      <c r="E294">
        <f t="shared" si="29"/>
        <v>284</v>
      </c>
      <c r="F294" s="39">
        <f t="shared" ca="1" si="25"/>
        <v>70.214749818652564</v>
      </c>
      <c r="G294" s="42">
        <f t="shared" ca="1" si="26"/>
        <v>2065.2277447409242</v>
      </c>
      <c r="H294" s="42">
        <f t="shared" ca="1" si="27"/>
        <v>2037.2277447409242</v>
      </c>
      <c r="I294" s="42">
        <f t="shared" ca="1" si="28"/>
        <v>0</v>
      </c>
    </row>
    <row r="295" spans="5:9" x14ac:dyDescent="0.25">
      <c r="E295">
        <f t="shared" si="29"/>
        <v>285</v>
      </c>
      <c r="F295" s="39">
        <f t="shared" ca="1" si="25"/>
        <v>95.054496828586394</v>
      </c>
      <c r="G295" s="42">
        <f t="shared" ca="1" si="26"/>
        <v>2785.5804080290054</v>
      </c>
      <c r="H295" s="42">
        <f t="shared" ca="1" si="27"/>
        <v>2757.5804080290054</v>
      </c>
      <c r="I295" s="42">
        <f t="shared" ca="1" si="28"/>
        <v>0</v>
      </c>
    </row>
    <row r="296" spans="5:9" x14ac:dyDescent="0.25">
      <c r="E296">
        <f t="shared" si="29"/>
        <v>286</v>
      </c>
      <c r="F296" s="39">
        <f t="shared" ca="1" si="25"/>
        <v>-6.6185859839314674</v>
      </c>
      <c r="G296" s="42">
        <f t="shared" ca="1" si="26"/>
        <v>-162.93899353401255</v>
      </c>
      <c r="H296" s="42">
        <f t="shared" ca="1" si="27"/>
        <v>-190.93899353401255</v>
      </c>
      <c r="I296" s="42">
        <f t="shared" ca="1" si="28"/>
        <v>0</v>
      </c>
    </row>
    <row r="297" spans="5:9" x14ac:dyDescent="0.25">
      <c r="E297">
        <f t="shared" si="29"/>
        <v>287</v>
      </c>
      <c r="F297" s="39">
        <f t="shared" ca="1" si="25"/>
        <v>-1.123763699903229</v>
      </c>
      <c r="G297" s="42">
        <f t="shared" ca="1" si="26"/>
        <v>-3.5891472971936409</v>
      </c>
      <c r="H297" s="42">
        <f t="shared" ca="1" si="27"/>
        <v>-31.589147297193641</v>
      </c>
      <c r="I297" s="42">
        <f t="shared" ca="1" si="28"/>
        <v>0</v>
      </c>
    </row>
    <row r="298" spans="5:9" x14ac:dyDescent="0.25">
      <c r="E298">
        <f t="shared" si="29"/>
        <v>288</v>
      </c>
      <c r="F298" s="39">
        <f t="shared" ca="1" si="25"/>
        <v>71.551506494496323</v>
      </c>
      <c r="G298" s="42">
        <f t="shared" ca="1" si="26"/>
        <v>2103.9936883403934</v>
      </c>
      <c r="H298" s="42">
        <f t="shared" ca="1" si="27"/>
        <v>2075.9936883403934</v>
      </c>
      <c r="I298" s="42">
        <f t="shared" ca="1" si="28"/>
        <v>0</v>
      </c>
    </row>
    <row r="299" spans="5:9" x14ac:dyDescent="0.25">
      <c r="E299">
        <f t="shared" si="29"/>
        <v>289</v>
      </c>
      <c r="F299" s="39">
        <f t="shared" ca="1" si="25"/>
        <v>-15.624986003130495</v>
      </c>
      <c r="G299" s="42">
        <f t="shared" ca="1" si="26"/>
        <v>-424.12459409078434</v>
      </c>
      <c r="H299" s="42">
        <f t="shared" ca="1" si="27"/>
        <v>-452.12459409078434</v>
      </c>
      <c r="I299" s="42">
        <f t="shared" ca="1" si="28"/>
        <v>0</v>
      </c>
    </row>
    <row r="300" spans="5:9" x14ac:dyDescent="0.25">
      <c r="E300">
        <f t="shared" si="29"/>
        <v>290</v>
      </c>
      <c r="F300" s="39">
        <f t="shared" ca="1" si="25"/>
        <v>-20.303424076955103</v>
      </c>
      <c r="G300" s="42">
        <f t="shared" ca="1" si="26"/>
        <v>-559.799298231698</v>
      </c>
      <c r="H300" s="42">
        <f t="shared" ca="1" si="27"/>
        <v>-587.799298231698</v>
      </c>
      <c r="I300" s="42">
        <f t="shared" ca="1" si="28"/>
        <v>0</v>
      </c>
    </row>
    <row r="301" spans="5:9" x14ac:dyDescent="0.25">
      <c r="E301">
        <f t="shared" si="29"/>
        <v>291</v>
      </c>
      <c r="F301" s="39">
        <f t="shared" ca="1" si="25"/>
        <v>59.764766470020888</v>
      </c>
      <c r="G301" s="42">
        <f t="shared" ca="1" si="26"/>
        <v>1762.1782276306058</v>
      </c>
      <c r="H301" s="42">
        <f t="shared" ca="1" si="27"/>
        <v>1734.1782276306058</v>
      </c>
      <c r="I301" s="42">
        <f t="shared" ca="1" si="28"/>
        <v>0</v>
      </c>
    </row>
    <row r="302" spans="5:9" x14ac:dyDescent="0.25">
      <c r="E302">
        <f t="shared" si="29"/>
        <v>292</v>
      </c>
      <c r="F302" s="39">
        <f t="shared" ca="1" si="25"/>
        <v>29.989561082905492</v>
      </c>
      <c r="G302" s="42">
        <f t="shared" ca="1" si="26"/>
        <v>898.69727140425925</v>
      </c>
      <c r="H302" s="42">
        <f t="shared" ca="1" si="27"/>
        <v>870.69727140425925</v>
      </c>
      <c r="I302" s="42">
        <f t="shared" ca="1" si="28"/>
        <v>0</v>
      </c>
    </row>
    <row r="303" spans="5:9" x14ac:dyDescent="0.25">
      <c r="E303">
        <f t="shared" si="29"/>
        <v>293</v>
      </c>
      <c r="F303" s="39">
        <f t="shared" ca="1" si="25"/>
        <v>35.379974019121725</v>
      </c>
      <c r="G303" s="42">
        <f t="shared" ca="1" si="26"/>
        <v>1055.0192465545301</v>
      </c>
      <c r="H303" s="42">
        <f t="shared" ca="1" si="27"/>
        <v>1027.0192465545301</v>
      </c>
      <c r="I303" s="42">
        <f t="shared" ca="1" si="28"/>
        <v>0</v>
      </c>
    </row>
    <row r="304" spans="5:9" x14ac:dyDescent="0.25">
      <c r="E304">
        <f t="shared" si="29"/>
        <v>294</v>
      </c>
      <c r="F304" s="39">
        <f t="shared" ca="1" si="25"/>
        <v>48.712841115996262</v>
      </c>
      <c r="G304" s="42">
        <f t="shared" ca="1" si="26"/>
        <v>1441.6723923638915</v>
      </c>
      <c r="H304" s="42">
        <f t="shared" ca="1" si="27"/>
        <v>1413.6723923638915</v>
      </c>
      <c r="I304" s="42">
        <f t="shared" ca="1" si="28"/>
        <v>0</v>
      </c>
    </row>
    <row r="305" spans="5:9" x14ac:dyDescent="0.25">
      <c r="E305">
        <f t="shared" si="29"/>
        <v>295</v>
      </c>
      <c r="F305" s="39">
        <f t="shared" ca="1" si="25"/>
        <v>56.259237468069514</v>
      </c>
      <c r="G305" s="42">
        <f t="shared" ca="1" si="26"/>
        <v>1660.5178865740158</v>
      </c>
      <c r="H305" s="42">
        <f t="shared" ca="1" si="27"/>
        <v>1632.5178865740158</v>
      </c>
      <c r="I305" s="42">
        <f t="shared" ca="1" si="28"/>
        <v>0</v>
      </c>
    </row>
    <row r="306" spans="5:9" x14ac:dyDescent="0.25">
      <c r="E306">
        <f t="shared" si="29"/>
        <v>296</v>
      </c>
      <c r="F306" s="39">
        <f t="shared" ca="1" si="25"/>
        <v>4.4046399211435769</v>
      </c>
      <c r="G306" s="42">
        <f t="shared" ca="1" si="26"/>
        <v>156.73455771316372</v>
      </c>
      <c r="H306" s="42">
        <f t="shared" ca="1" si="27"/>
        <v>128.73455771316372</v>
      </c>
      <c r="I306" s="42">
        <f t="shared" ca="1" si="28"/>
        <v>0</v>
      </c>
    </row>
    <row r="307" spans="5:9" x14ac:dyDescent="0.25">
      <c r="E307">
        <f t="shared" si="29"/>
        <v>297</v>
      </c>
      <c r="F307" s="39">
        <f t="shared" ca="1" si="25"/>
        <v>31.695419487261784</v>
      </c>
      <c r="G307" s="42">
        <f t="shared" ca="1" si="26"/>
        <v>948.1671651305918</v>
      </c>
      <c r="H307" s="42">
        <f t="shared" ca="1" si="27"/>
        <v>920.1671651305918</v>
      </c>
      <c r="I307" s="42">
        <f t="shared" ca="1" si="28"/>
        <v>0</v>
      </c>
    </row>
    <row r="308" spans="5:9" x14ac:dyDescent="0.25">
      <c r="E308">
        <f t="shared" si="29"/>
        <v>298</v>
      </c>
      <c r="F308" s="39">
        <f t="shared" ca="1" si="25"/>
        <v>6.9712580351699636</v>
      </c>
      <c r="G308" s="42">
        <f t="shared" ca="1" si="26"/>
        <v>231.16648301992893</v>
      </c>
      <c r="H308" s="42">
        <f t="shared" ca="1" si="27"/>
        <v>203.16648301992893</v>
      </c>
      <c r="I308" s="42">
        <f t="shared" ca="1" si="28"/>
        <v>0</v>
      </c>
    </row>
    <row r="309" spans="5:9" x14ac:dyDescent="0.25">
      <c r="E309">
        <f t="shared" si="29"/>
        <v>299</v>
      </c>
      <c r="F309" s="39">
        <f t="shared" ca="1" si="25"/>
        <v>-12.070773546173776</v>
      </c>
      <c r="G309" s="42">
        <f t="shared" ca="1" si="26"/>
        <v>-321.05243283903951</v>
      </c>
      <c r="H309" s="42">
        <f t="shared" ca="1" si="27"/>
        <v>-349.05243283903951</v>
      </c>
      <c r="I309" s="42">
        <f t="shared" ca="1" si="28"/>
        <v>0</v>
      </c>
    </row>
    <row r="310" spans="5:9" x14ac:dyDescent="0.25">
      <c r="E310">
        <f t="shared" si="29"/>
        <v>300</v>
      </c>
      <c r="F310" s="39">
        <f t="shared" ca="1" si="25"/>
        <v>-5.2380029122255181</v>
      </c>
      <c r="G310" s="42">
        <f t="shared" ca="1" si="26"/>
        <v>-122.90208445454002</v>
      </c>
      <c r="H310" s="42">
        <f t="shared" ca="1" si="27"/>
        <v>-150.90208445454002</v>
      </c>
      <c r="I310" s="42">
        <f t="shared" ca="1" si="28"/>
        <v>0</v>
      </c>
    </row>
    <row r="311" spans="5:9" x14ac:dyDescent="0.25">
      <c r="E311">
        <f t="shared" si="29"/>
        <v>301</v>
      </c>
      <c r="F311" s="39">
        <f t="shared" ca="1" si="25"/>
        <v>59.558255493323358</v>
      </c>
      <c r="G311" s="42">
        <f t="shared" ca="1" si="26"/>
        <v>1756.1894093063775</v>
      </c>
      <c r="H311" s="42">
        <f t="shared" ca="1" si="27"/>
        <v>1728.1894093063775</v>
      </c>
      <c r="I311" s="42">
        <f t="shared" ca="1" si="28"/>
        <v>0</v>
      </c>
    </row>
    <row r="312" spans="5:9" x14ac:dyDescent="0.25">
      <c r="E312">
        <f t="shared" si="29"/>
        <v>302</v>
      </c>
      <c r="F312" s="39">
        <f t="shared" ca="1" si="25"/>
        <v>27.102504650312728</v>
      </c>
      <c r="G312" s="42">
        <f t="shared" ca="1" si="26"/>
        <v>814.9726348590691</v>
      </c>
      <c r="H312" s="42">
        <f t="shared" ca="1" si="27"/>
        <v>786.9726348590691</v>
      </c>
      <c r="I312" s="42">
        <f t="shared" ca="1" si="28"/>
        <v>0</v>
      </c>
    </row>
    <row r="313" spans="5:9" x14ac:dyDescent="0.25">
      <c r="E313">
        <f t="shared" si="29"/>
        <v>303</v>
      </c>
      <c r="F313" s="39">
        <f t="shared" ca="1" si="25"/>
        <v>53.961010170454742</v>
      </c>
      <c r="G313" s="42">
        <f t="shared" ca="1" si="26"/>
        <v>1593.8692949431875</v>
      </c>
      <c r="H313" s="42">
        <f t="shared" ca="1" si="27"/>
        <v>1565.8692949431875</v>
      </c>
      <c r="I313" s="42">
        <f t="shared" ca="1" si="28"/>
        <v>0</v>
      </c>
    </row>
    <row r="314" spans="5:9" x14ac:dyDescent="0.25">
      <c r="E314">
        <f t="shared" si="29"/>
        <v>304</v>
      </c>
      <c r="F314" s="39">
        <f t="shared" ca="1" si="25"/>
        <v>62.183072575498116</v>
      </c>
      <c r="G314" s="42">
        <f t="shared" ca="1" si="26"/>
        <v>1832.3091046894453</v>
      </c>
      <c r="H314" s="42">
        <f t="shared" ca="1" si="27"/>
        <v>1804.3091046894453</v>
      </c>
      <c r="I314" s="42">
        <f t="shared" ca="1" si="28"/>
        <v>0</v>
      </c>
    </row>
    <row r="315" spans="5:9" x14ac:dyDescent="0.25">
      <c r="E315">
        <f t="shared" si="29"/>
        <v>305</v>
      </c>
      <c r="F315" s="39">
        <f t="shared" ca="1" si="25"/>
        <v>-1.4522294999371113</v>
      </c>
      <c r="G315" s="42">
        <f t="shared" ca="1" si="26"/>
        <v>-13.114655498176226</v>
      </c>
      <c r="H315" s="42">
        <f t="shared" ca="1" si="27"/>
        <v>-41.114655498176226</v>
      </c>
      <c r="I315" s="42">
        <f t="shared" ca="1" si="28"/>
        <v>0</v>
      </c>
    </row>
    <row r="316" spans="5:9" x14ac:dyDescent="0.25">
      <c r="E316">
        <f t="shared" si="29"/>
        <v>306</v>
      </c>
      <c r="F316" s="39">
        <f t="shared" ca="1" si="25"/>
        <v>28.545382747328727</v>
      </c>
      <c r="G316" s="42">
        <f t="shared" ca="1" si="26"/>
        <v>856.81609967253303</v>
      </c>
      <c r="H316" s="42">
        <f t="shared" ca="1" si="27"/>
        <v>828.81609967253303</v>
      </c>
      <c r="I316" s="42">
        <f t="shared" ca="1" si="28"/>
        <v>0</v>
      </c>
    </row>
    <row r="317" spans="5:9" x14ac:dyDescent="0.25">
      <c r="E317">
        <f t="shared" si="29"/>
        <v>307</v>
      </c>
      <c r="F317" s="39">
        <f t="shared" ca="1" si="25"/>
        <v>52.376390366215801</v>
      </c>
      <c r="G317" s="42">
        <f t="shared" ca="1" si="26"/>
        <v>1547.9153206202582</v>
      </c>
      <c r="H317" s="42">
        <f t="shared" ca="1" si="27"/>
        <v>1519.9153206202582</v>
      </c>
      <c r="I317" s="42">
        <f t="shared" ca="1" si="28"/>
        <v>0</v>
      </c>
    </row>
    <row r="318" spans="5:9" x14ac:dyDescent="0.25">
      <c r="E318">
        <f t="shared" si="29"/>
        <v>308</v>
      </c>
      <c r="F318" s="39">
        <f t="shared" ca="1" si="25"/>
        <v>59.456184880300441</v>
      </c>
      <c r="G318" s="42">
        <f t="shared" ca="1" si="26"/>
        <v>1753.2293615287128</v>
      </c>
      <c r="H318" s="42">
        <f t="shared" ca="1" si="27"/>
        <v>1725.2293615287128</v>
      </c>
      <c r="I318" s="42">
        <f t="shared" ca="1" si="28"/>
        <v>0</v>
      </c>
    </row>
    <row r="319" spans="5:9" x14ac:dyDescent="0.25">
      <c r="E319">
        <f t="shared" si="29"/>
        <v>309</v>
      </c>
      <c r="F319" s="39">
        <f t="shared" ca="1" si="25"/>
        <v>70.222842418187298</v>
      </c>
      <c r="G319" s="42">
        <f t="shared" ca="1" si="26"/>
        <v>2065.4624301274316</v>
      </c>
      <c r="H319" s="42">
        <f t="shared" ca="1" si="27"/>
        <v>2037.4624301274316</v>
      </c>
      <c r="I319" s="42">
        <f t="shared" ca="1" si="28"/>
        <v>0</v>
      </c>
    </row>
    <row r="320" spans="5:9" x14ac:dyDescent="0.25">
      <c r="E320">
        <f t="shared" si="29"/>
        <v>310</v>
      </c>
      <c r="F320" s="39">
        <f t="shared" ca="1" si="25"/>
        <v>-3.2690623011324433</v>
      </c>
      <c r="G320" s="42">
        <f t="shared" ca="1" si="26"/>
        <v>-65.80280673284085</v>
      </c>
      <c r="H320" s="42">
        <f t="shared" ca="1" si="27"/>
        <v>-93.80280673284085</v>
      </c>
      <c r="I320" s="42">
        <f t="shared" ca="1" si="28"/>
        <v>0</v>
      </c>
    </row>
    <row r="321" spans="5:9" x14ac:dyDescent="0.25">
      <c r="E321">
        <f t="shared" si="29"/>
        <v>311</v>
      </c>
      <c r="F321" s="39">
        <f t="shared" ca="1" si="25"/>
        <v>47.126129304153906</v>
      </c>
      <c r="G321" s="42">
        <f t="shared" ca="1" si="26"/>
        <v>1395.6577498204633</v>
      </c>
      <c r="H321" s="42">
        <f t="shared" ca="1" si="27"/>
        <v>1367.6577498204633</v>
      </c>
      <c r="I321" s="42">
        <f t="shared" ca="1" si="28"/>
        <v>0</v>
      </c>
    </row>
    <row r="322" spans="5:9" x14ac:dyDescent="0.25">
      <c r="E322">
        <f t="shared" si="29"/>
        <v>312</v>
      </c>
      <c r="F322" s="39">
        <f t="shared" ca="1" si="25"/>
        <v>-5.0384726169228031</v>
      </c>
      <c r="G322" s="42">
        <f t="shared" ca="1" si="26"/>
        <v>-117.11570589076129</v>
      </c>
      <c r="H322" s="42">
        <f t="shared" ca="1" si="27"/>
        <v>-145.11570589076129</v>
      </c>
      <c r="I322" s="42">
        <f t="shared" ca="1" si="28"/>
        <v>0</v>
      </c>
    </row>
    <row r="323" spans="5:9" x14ac:dyDescent="0.25">
      <c r="E323">
        <f t="shared" si="29"/>
        <v>313</v>
      </c>
      <c r="F323" s="39">
        <f t="shared" ca="1" si="25"/>
        <v>12.768188959317328</v>
      </c>
      <c r="G323" s="42">
        <f t="shared" ca="1" si="26"/>
        <v>399.27747982020253</v>
      </c>
      <c r="H323" s="42">
        <f t="shared" ca="1" si="27"/>
        <v>371.27747982020253</v>
      </c>
      <c r="I323" s="42">
        <f t="shared" ca="1" si="28"/>
        <v>0</v>
      </c>
    </row>
    <row r="324" spans="5:9" x14ac:dyDescent="0.25">
      <c r="E324">
        <f t="shared" si="29"/>
        <v>314</v>
      </c>
      <c r="F324" s="39">
        <f t="shared" ca="1" si="25"/>
        <v>25.119314351312514</v>
      </c>
      <c r="G324" s="42">
        <f t="shared" ca="1" si="26"/>
        <v>757.4601161880629</v>
      </c>
      <c r="H324" s="42">
        <f t="shared" ca="1" si="27"/>
        <v>729.4601161880629</v>
      </c>
      <c r="I324" s="42">
        <f t="shared" ca="1" si="28"/>
        <v>0</v>
      </c>
    </row>
    <row r="325" spans="5:9" x14ac:dyDescent="0.25">
      <c r="E325">
        <f t="shared" si="29"/>
        <v>315</v>
      </c>
      <c r="F325" s="39">
        <f t="shared" ca="1" si="25"/>
        <v>66.277004341777939</v>
      </c>
      <c r="G325" s="42">
        <f t="shared" ca="1" si="26"/>
        <v>1951.0331259115603</v>
      </c>
      <c r="H325" s="42">
        <f t="shared" ca="1" si="27"/>
        <v>1923.0331259115603</v>
      </c>
      <c r="I325" s="42">
        <f t="shared" ca="1" si="28"/>
        <v>0</v>
      </c>
    </row>
    <row r="326" spans="5:9" x14ac:dyDescent="0.25">
      <c r="E326">
        <f t="shared" si="29"/>
        <v>316</v>
      </c>
      <c r="F326" s="39">
        <f t="shared" ca="1" si="25"/>
        <v>34.569612228426919</v>
      </c>
      <c r="G326" s="42">
        <f t="shared" ca="1" si="26"/>
        <v>1031.5187546243806</v>
      </c>
      <c r="H326" s="42">
        <f t="shared" ca="1" si="27"/>
        <v>1003.5187546243806</v>
      </c>
      <c r="I326" s="42">
        <f t="shared" ca="1" si="28"/>
        <v>0</v>
      </c>
    </row>
    <row r="327" spans="5:9" x14ac:dyDescent="0.25">
      <c r="E327">
        <f t="shared" si="29"/>
        <v>317</v>
      </c>
      <c r="F327" s="39">
        <f t="shared" ca="1" si="25"/>
        <v>39.572221938639068</v>
      </c>
      <c r="G327" s="42">
        <f t="shared" ca="1" si="26"/>
        <v>1176.594436220533</v>
      </c>
      <c r="H327" s="42">
        <f t="shared" ca="1" si="27"/>
        <v>1148.594436220533</v>
      </c>
      <c r="I327" s="42">
        <f t="shared" ca="1" si="28"/>
        <v>0</v>
      </c>
    </row>
    <row r="328" spans="5:9" x14ac:dyDescent="0.25">
      <c r="E328">
        <f t="shared" si="29"/>
        <v>318</v>
      </c>
      <c r="F328" s="39">
        <f t="shared" ca="1" si="25"/>
        <v>76.807474177917157</v>
      </c>
      <c r="G328" s="42">
        <f t="shared" ca="1" si="26"/>
        <v>2256.4167511595974</v>
      </c>
      <c r="H328" s="42">
        <f t="shared" ca="1" si="27"/>
        <v>2228.4167511595974</v>
      </c>
      <c r="I328" s="42">
        <f t="shared" ca="1" si="28"/>
        <v>0</v>
      </c>
    </row>
    <row r="329" spans="5:9" x14ac:dyDescent="0.25">
      <c r="E329">
        <f t="shared" si="29"/>
        <v>319</v>
      </c>
      <c r="F329" s="39">
        <f t="shared" ca="1" si="25"/>
        <v>8.6849218072624872</v>
      </c>
      <c r="G329" s="42">
        <f t="shared" ca="1" si="26"/>
        <v>280.86273241061213</v>
      </c>
      <c r="H329" s="42">
        <f t="shared" ca="1" si="27"/>
        <v>252.86273241061213</v>
      </c>
      <c r="I329" s="42">
        <f t="shared" ca="1" si="28"/>
        <v>0</v>
      </c>
    </row>
    <row r="330" spans="5:9" x14ac:dyDescent="0.25">
      <c r="E330">
        <f t="shared" si="29"/>
        <v>320</v>
      </c>
      <c r="F330" s="39">
        <f t="shared" ca="1" si="25"/>
        <v>29.367893054395225</v>
      </c>
      <c r="G330" s="42">
        <f t="shared" ca="1" si="26"/>
        <v>880.6688985774615</v>
      </c>
      <c r="H330" s="42">
        <f t="shared" ca="1" si="27"/>
        <v>852.6688985774615</v>
      </c>
      <c r="I330" s="42">
        <f t="shared" ca="1" si="28"/>
        <v>0</v>
      </c>
    </row>
    <row r="331" spans="5:9" x14ac:dyDescent="0.25">
      <c r="E331">
        <f t="shared" si="29"/>
        <v>321</v>
      </c>
      <c r="F331" s="39">
        <f t="shared" ca="1" si="25"/>
        <v>17.004505043592893</v>
      </c>
      <c r="G331" s="42">
        <f t="shared" ca="1" si="26"/>
        <v>522.13064626419384</v>
      </c>
      <c r="H331" s="42">
        <f t="shared" ca="1" si="27"/>
        <v>494.13064626419384</v>
      </c>
      <c r="I331" s="42">
        <f t="shared" ca="1" si="28"/>
        <v>0</v>
      </c>
    </row>
    <row r="332" spans="5:9" x14ac:dyDescent="0.25">
      <c r="E332">
        <f t="shared" si="29"/>
        <v>322</v>
      </c>
      <c r="F332" s="39">
        <f t="shared" ref="F332:F395" ca="1" si="30">_xlfn.NORM.INV(RAND(),$E$45,$E$46)</f>
        <v>113.59146763791748</v>
      </c>
      <c r="G332" s="42">
        <f t="shared" ref="G332:G395" ca="1" si="31">$E$39*(1+F332)</f>
        <v>3323.1525614996067</v>
      </c>
      <c r="H332" s="42">
        <f t="shared" ref="H332:H395" ca="1" si="32">MAX(G332-$E$38)</f>
        <v>3295.1525614996067</v>
      </c>
      <c r="I332" s="42">
        <f t="shared" ref="I332:I395" ca="1" si="33">MAX($E$38-$H$43,0)</f>
        <v>0</v>
      </c>
    </row>
    <row r="333" spans="5:9" x14ac:dyDescent="0.25">
      <c r="E333">
        <f t="shared" ref="E333:E396" si="34">E332+1</f>
        <v>323</v>
      </c>
      <c r="F333" s="39">
        <f t="shared" ca="1" si="30"/>
        <v>40.604289282116326</v>
      </c>
      <c r="G333" s="42">
        <f t="shared" ca="1" si="31"/>
        <v>1206.5243891813734</v>
      </c>
      <c r="H333" s="42">
        <f t="shared" ca="1" si="32"/>
        <v>1178.5243891813734</v>
      </c>
      <c r="I333" s="42">
        <f t="shared" ca="1" si="33"/>
        <v>0</v>
      </c>
    </row>
    <row r="334" spans="5:9" x14ac:dyDescent="0.25">
      <c r="E334">
        <f t="shared" si="34"/>
        <v>324</v>
      </c>
      <c r="F334" s="39">
        <f t="shared" ca="1" si="30"/>
        <v>33.756999237577851</v>
      </c>
      <c r="G334" s="42">
        <f t="shared" ca="1" si="31"/>
        <v>1007.9529778897577</v>
      </c>
      <c r="H334" s="42">
        <f t="shared" ca="1" si="32"/>
        <v>979.95297788975768</v>
      </c>
      <c r="I334" s="42">
        <f t="shared" ca="1" si="33"/>
        <v>0</v>
      </c>
    </row>
    <row r="335" spans="5:9" x14ac:dyDescent="0.25">
      <c r="E335">
        <f t="shared" si="34"/>
        <v>325</v>
      </c>
      <c r="F335" s="39">
        <f t="shared" ca="1" si="30"/>
        <v>67.447987742192311</v>
      </c>
      <c r="G335" s="42">
        <f t="shared" ca="1" si="31"/>
        <v>1984.991644523577</v>
      </c>
      <c r="H335" s="42">
        <f t="shared" ca="1" si="32"/>
        <v>1956.991644523577</v>
      </c>
      <c r="I335" s="42">
        <f t="shared" ca="1" si="33"/>
        <v>0</v>
      </c>
    </row>
    <row r="336" spans="5:9" x14ac:dyDescent="0.25">
      <c r="E336">
        <f t="shared" si="34"/>
        <v>326</v>
      </c>
      <c r="F336" s="39">
        <f t="shared" ca="1" si="30"/>
        <v>31.84780305460815</v>
      </c>
      <c r="G336" s="42">
        <f t="shared" ca="1" si="31"/>
        <v>952.58628858363636</v>
      </c>
      <c r="H336" s="42">
        <f t="shared" ca="1" si="32"/>
        <v>924.58628858363636</v>
      </c>
      <c r="I336" s="42">
        <f t="shared" ca="1" si="33"/>
        <v>0</v>
      </c>
    </row>
    <row r="337" spans="5:9" x14ac:dyDescent="0.25">
      <c r="E337">
        <f t="shared" si="34"/>
        <v>327</v>
      </c>
      <c r="F337" s="39">
        <f t="shared" ca="1" si="30"/>
        <v>14.112177572685766</v>
      </c>
      <c r="G337" s="42">
        <f t="shared" ca="1" si="31"/>
        <v>438.25314960788722</v>
      </c>
      <c r="H337" s="42">
        <f t="shared" ca="1" si="32"/>
        <v>410.25314960788722</v>
      </c>
      <c r="I337" s="42">
        <f t="shared" ca="1" si="33"/>
        <v>0</v>
      </c>
    </row>
    <row r="338" spans="5:9" x14ac:dyDescent="0.25">
      <c r="E338">
        <f t="shared" si="34"/>
        <v>328</v>
      </c>
      <c r="F338" s="39">
        <f t="shared" ca="1" si="30"/>
        <v>-43.012173362652263</v>
      </c>
      <c r="G338" s="42">
        <f t="shared" ca="1" si="31"/>
        <v>-1218.3530275169155</v>
      </c>
      <c r="H338" s="42">
        <f t="shared" ca="1" si="32"/>
        <v>-1246.3530275169155</v>
      </c>
      <c r="I338" s="42">
        <f t="shared" ca="1" si="33"/>
        <v>0</v>
      </c>
    </row>
    <row r="339" spans="5:9" x14ac:dyDescent="0.25">
      <c r="E339">
        <f t="shared" si="34"/>
        <v>329</v>
      </c>
      <c r="F339" s="39">
        <f t="shared" ca="1" si="30"/>
        <v>-17.723994904306885</v>
      </c>
      <c r="G339" s="42">
        <f t="shared" ca="1" si="31"/>
        <v>-484.99585222489964</v>
      </c>
      <c r="H339" s="42">
        <f t="shared" ca="1" si="32"/>
        <v>-512.99585222489964</v>
      </c>
      <c r="I339" s="42">
        <f t="shared" ca="1" si="33"/>
        <v>0</v>
      </c>
    </row>
    <row r="340" spans="5:9" x14ac:dyDescent="0.25">
      <c r="E340">
        <f t="shared" si="34"/>
        <v>330</v>
      </c>
      <c r="F340" s="39">
        <f t="shared" ca="1" si="30"/>
        <v>2.0724302503179644</v>
      </c>
      <c r="G340" s="42">
        <f t="shared" ca="1" si="31"/>
        <v>89.100477259220966</v>
      </c>
      <c r="H340" s="42">
        <f t="shared" ca="1" si="32"/>
        <v>61.100477259220966</v>
      </c>
      <c r="I340" s="42">
        <f t="shared" ca="1" si="33"/>
        <v>0</v>
      </c>
    </row>
    <row r="341" spans="5:9" x14ac:dyDescent="0.25">
      <c r="E341">
        <f t="shared" si="34"/>
        <v>331</v>
      </c>
      <c r="F341" s="39">
        <f t="shared" ca="1" si="30"/>
        <v>28.442367569382952</v>
      </c>
      <c r="G341" s="42">
        <f t="shared" ca="1" si="31"/>
        <v>853.82865951210556</v>
      </c>
      <c r="H341" s="42">
        <f t="shared" ca="1" si="32"/>
        <v>825.82865951210556</v>
      </c>
      <c r="I341" s="42">
        <f t="shared" ca="1" si="33"/>
        <v>0</v>
      </c>
    </row>
    <row r="342" spans="5:9" x14ac:dyDescent="0.25">
      <c r="E342">
        <f t="shared" si="34"/>
        <v>332</v>
      </c>
      <c r="F342" s="39">
        <f t="shared" ca="1" si="30"/>
        <v>65.026645216930973</v>
      </c>
      <c r="G342" s="42">
        <f t="shared" ca="1" si="31"/>
        <v>1914.7727112909981</v>
      </c>
      <c r="H342" s="42">
        <f t="shared" ca="1" si="32"/>
        <v>1886.7727112909981</v>
      </c>
      <c r="I342" s="42">
        <f t="shared" ca="1" si="33"/>
        <v>0</v>
      </c>
    </row>
    <row r="343" spans="5:9" x14ac:dyDescent="0.25">
      <c r="E343">
        <f t="shared" si="34"/>
        <v>333</v>
      </c>
      <c r="F343" s="39">
        <f t="shared" ca="1" si="30"/>
        <v>13.723455957397519</v>
      </c>
      <c r="G343" s="42">
        <f t="shared" ca="1" si="31"/>
        <v>426.98022276452804</v>
      </c>
      <c r="H343" s="42">
        <f t="shared" ca="1" si="32"/>
        <v>398.98022276452804</v>
      </c>
      <c r="I343" s="42">
        <f t="shared" ca="1" si="33"/>
        <v>0</v>
      </c>
    </row>
    <row r="344" spans="5:9" x14ac:dyDescent="0.25">
      <c r="E344">
        <f t="shared" si="34"/>
        <v>334</v>
      </c>
      <c r="F344" s="39">
        <f t="shared" ca="1" si="30"/>
        <v>29.909798889319742</v>
      </c>
      <c r="G344" s="42">
        <f t="shared" ca="1" si="31"/>
        <v>896.3841677902725</v>
      </c>
      <c r="H344" s="42">
        <f t="shared" ca="1" si="32"/>
        <v>868.3841677902725</v>
      </c>
      <c r="I344" s="42">
        <f t="shared" ca="1" si="33"/>
        <v>0</v>
      </c>
    </row>
    <row r="345" spans="5:9" x14ac:dyDescent="0.25">
      <c r="E345">
        <f t="shared" si="34"/>
        <v>335</v>
      </c>
      <c r="F345" s="39">
        <f t="shared" ca="1" si="30"/>
        <v>-22.981632903319934</v>
      </c>
      <c r="G345" s="42">
        <f t="shared" ca="1" si="31"/>
        <v>-637.46735419627805</v>
      </c>
      <c r="H345" s="42">
        <f t="shared" ca="1" si="32"/>
        <v>-665.46735419627805</v>
      </c>
      <c r="I345" s="42">
        <f t="shared" ca="1" si="33"/>
        <v>0</v>
      </c>
    </row>
    <row r="346" spans="5:9" x14ac:dyDescent="0.25">
      <c r="E346">
        <f t="shared" si="34"/>
        <v>336</v>
      </c>
      <c r="F346" s="39">
        <f t="shared" ca="1" si="30"/>
        <v>58.04932414546635</v>
      </c>
      <c r="G346" s="42">
        <f t="shared" ca="1" si="31"/>
        <v>1712.4304002185243</v>
      </c>
      <c r="H346" s="42">
        <f t="shared" ca="1" si="32"/>
        <v>1684.4304002185243</v>
      </c>
      <c r="I346" s="42">
        <f t="shared" ca="1" si="33"/>
        <v>0</v>
      </c>
    </row>
    <row r="347" spans="5:9" x14ac:dyDescent="0.25">
      <c r="E347">
        <f t="shared" si="34"/>
        <v>337</v>
      </c>
      <c r="F347" s="39">
        <f t="shared" ca="1" si="30"/>
        <v>57.720835515535171</v>
      </c>
      <c r="G347" s="42">
        <f t="shared" ca="1" si="31"/>
        <v>1702.9042299505199</v>
      </c>
      <c r="H347" s="42">
        <f t="shared" ca="1" si="32"/>
        <v>1674.9042299505199</v>
      </c>
      <c r="I347" s="42">
        <f t="shared" ca="1" si="33"/>
        <v>0</v>
      </c>
    </row>
    <row r="348" spans="5:9" x14ac:dyDescent="0.25">
      <c r="E348">
        <f t="shared" si="34"/>
        <v>338</v>
      </c>
      <c r="F348" s="39">
        <f t="shared" ca="1" si="30"/>
        <v>18.741740879505794</v>
      </c>
      <c r="G348" s="42">
        <f t="shared" ca="1" si="31"/>
        <v>572.51048550566804</v>
      </c>
      <c r="H348" s="42">
        <f t="shared" ca="1" si="32"/>
        <v>544.51048550566804</v>
      </c>
      <c r="I348" s="42">
        <f t="shared" ca="1" si="33"/>
        <v>0</v>
      </c>
    </row>
    <row r="349" spans="5:9" x14ac:dyDescent="0.25">
      <c r="E349">
        <f t="shared" si="34"/>
        <v>339</v>
      </c>
      <c r="F349" s="39">
        <f t="shared" ca="1" si="30"/>
        <v>48.397697975223011</v>
      </c>
      <c r="G349" s="42">
        <f t="shared" ca="1" si="31"/>
        <v>1432.5332412814673</v>
      </c>
      <c r="H349" s="42">
        <f t="shared" ca="1" si="32"/>
        <v>1404.5332412814673</v>
      </c>
      <c r="I349" s="42">
        <f t="shared" ca="1" si="33"/>
        <v>0</v>
      </c>
    </row>
    <row r="350" spans="5:9" x14ac:dyDescent="0.25">
      <c r="E350">
        <f t="shared" si="34"/>
        <v>340</v>
      </c>
      <c r="F350" s="39">
        <f t="shared" ca="1" si="30"/>
        <v>9.88367974021698</v>
      </c>
      <c r="G350" s="42">
        <f t="shared" ca="1" si="31"/>
        <v>315.62671246629242</v>
      </c>
      <c r="H350" s="42">
        <f t="shared" ca="1" si="32"/>
        <v>287.62671246629242</v>
      </c>
      <c r="I350" s="42">
        <f t="shared" ca="1" si="33"/>
        <v>0</v>
      </c>
    </row>
    <row r="351" spans="5:9" x14ac:dyDescent="0.25">
      <c r="E351">
        <f t="shared" si="34"/>
        <v>341</v>
      </c>
      <c r="F351" s="39">
        <f t="shared" ca="1" si="30"/>
        <v>-14.701083974640774</v>
      </c>
      <c r="G351" s="42">
        <f t="shared" ca="1" si="31"/>
        <v>-397.33143526458247</v>
      </c>
      <c r="H351" s="42">
        <f t="shared" ca="1" si="32"/>
        <v>-425.33143526458247</v>
      </c>
      <c r="I351" s="42">
        <f t="shared" ca="1" si="33"/>
        <v>0</v>
      </c>
    </row>
    <row r="352" spans="5:9" x14ac:dyDescent="0.25">
      <c r="E352">
        <f t="shared" si="34"/>
        <v>342</v>
      </c>
      <c r="F352" s="39">
        <f t="shared" ca="1" si="30"/>
        <v>8.8807357504805289</v>
      </c>
      <c r="G352" s="42">
        <f t="shared" ca="1" si="31"/>
        <v>286.54133676393536</v>
      </c>
      <c r="H352" s="42">
        <f t="shared" ca="1" si="32"/>
        <v>258.54133676393536</v>
      </c>
      <c r="I352" s="42">
        <f t="shared" ca="1" si="33"/>
        <v>0</v>
      </c>
    </row>
    <row r="353" spans="5:9" x14ac:dyDescent="0.25">
      <c r="E353">
        <f t="shared" si="34"/>
        <v>343</v>
      </c>
      <c r="F353" s="39">
        <f t="shared" ca="1" si="30"/>
        <v>71.828048110722136</v>
      </c>
      <c r="G353" s="42">
        <f t="shared" ca="1" si="31"/>
        <v>2112.0133952109418</v>
      </c>
      <c r="H353" s="42">
        <f t="shared" ca="1" si="32"/>
        <v>2084.0133952109418</v>
      </c>
      <c r="I353" s="42">
        <f t="shared" ca="1" si="33"/>
        <v>0</v>
      </c>
    </row>
    <row r="354" spans="5:9" x14ac:dyDescent="0.25">
      <c r="E354">
        <f t="shared" si="34"/>
        <v>344</v>
      </c>
      <c r="F354" s="39">
        <f t="shared" ca="1" si="30"/>
        <v>98.488625314633907</v>
      </c>
      <c r="G354" s="42">
        <f t="shared" ca="1" si="31"/>
        <v>2885.1701341243834</v>
      </c>
      <c r="H354" s="42">
        <f t="shared" ca="1" si="32"/>
        <v>2857.1701341243834</v>
      </c>
      <c r="I354" s="42">
        <f t="shared" ca="1" si="33"/>
        <v>0</v>
      </c>
    </row>
    <row r="355" spans="5:9" x14ac:dyDescent="0.25">
      <c r="E355">
        <f t="shared" si="34"/>
        <v>345</v>
      </c>
      <c r="F355" s="39">
        <f t="shared" ca="1" si="30"/>
        <v>9.7672489496921173</v>
      </c>
      <c r="G355" s="42">
        <f t="shared" ca="1" si="31"/>
        <v>312.25021954107137</v>
      </c>
      <c r="H355" s="42">
        <f t="shared" ca="1" si="32"/>
        <v>284.25021954107137</v>
      </c>
      <c r="I355" s="42">
        <f t="shared" ca="1" si="33"/>
        <v>0</v>
      </c>
    </row>
    <row r="356" spans="5:9" x14ac:dyDescent="0.25">
      <c r="E356">
        <f t="shared" si="34"/>
        <v>346</v>
      </c>
      <c r="F356" s="39">
        <f t="shared" ca="1" si="30"/>
        <v>-24.754343466796065</v>
      </c>
      <c r="G356" s="42">
        <f t="shared" ca="1" si="31"/>
        <v>-688.87596053708592</v>
      </c>
      <c r="H356" s="42">
        <f t="shared" ca="1" si="32"/>
        <v>-716.87596053708592</v>
      </c>
      <c r="I356" s="42">
        <f t="shared" ca="1" si="33"/>
        <v>0</v>
      </c>
    </row>
    <row r="357" spans="5:9" x14ac:dyDescent="0.25">
      <c r="E357">
        <f t="shared" si="34"/>
        <v>347</v>
      </c>
      <c r="F357" s="39">
        <f t="shared" ca="1" si="30"/>
        <v>-13.828501827195012</v>
      </c>
      <c r="G357" s="42">
        <f t="shared" ca="1" si="31"/>
        <v>-372.02655298865534</v>
      </c>
      <c r="H357" s="42">
        <f t="shared" ca="1" si="32"/>
        <v>-400.02655298865534</v>
      </c>
      <c r="I357" s="42">
        <f t="shared" ca="1" si="33"/>
        <v>0</v>
      </c>
    </row>
    <row r="358" spans="5:9" x14ac:dyDescent="0.25">
      <c r="E358">
        <f t="shared" si="34"/>
        <v>348</v>
      </c>
      <c r="F358" s="39">
        <f t="shared" ca="1" si="30"/>
        <v>-9.7213355230113478</v>
      </c>
      <c r="G358" s="42">
        <f t="shared" ca="1" si="31"/>
        <v>-252.9187301673291</v>
      </c>
      <c r="H358" s="42">
        <f t="shared" ca="1" si="32"/>
        <v>-280.9187301673291</v>
      </c>
      <c r="I358" s="42">
        <f t="shared" ca="1" si="33"/>
        <v>0</v>
      </c>
    </row>
    <row r="359" spans="5:9" x14ac:dyDescent="0.25">
      <c r="E359">
        <f t="shared" si="34"/>
        <v>349</v>
      </c>
      <c r="F359" s="39">
        <f t="shared" ca="1" si="30"/>
        <v>63.476438398774114</v>
      </c>
      <c r="G359" s="42">
        <f t="shared" ca="1" si="31"/>
        <v>1869.8167135644494</v>
      </c>
      <c r="H359" s="42">
        <f t="shared" ca="1" si="32"/>
        <v>1841.8167135644494</v>
      </c>
      <c r="I359" s="42">
        <f t="shared" ca="1" si="33"/>
        <v>0</v>
      </c>
    </row>
    <row r="360" spans="5:9" x14ac:dyDescent="0.25">
      <c r="E360">
        <f t="shared" si="34"/>
        <v>350</v>
      </c>
      <c r="F360" s="39">
        <f t="shared" ca="1" si="30"/>
        <v>38.744671373879378</v>
      </c>
      <c r="G360" s="42">
        <f t="shared" ca="1" si="31"/>
        <v>1152.5954698425019</v>
      </c>
      <c r="H360" s="42">
        <f t="shared" ca="1" si="32"/>
        <v>1124.5954698425019</v>
      </c>
      <c r="I360" s="42">
        <f t="shared" ca="1" si="33"/>
        <v>0</v>
      </c>
    </row>
    <row r="361" spans="5:9" x14ac:dyDescent="0.25">
      <c r="E361">
        <f t="shared" si="34"/>
        <v>351</v>
      </c>
      <c r="F361" s="39">
        <f t="shared" ca="1" si="30"/>
        <v>7.3440561916203677</v>
      </c>
      <c r="G361" s="42">
        <f t="shared" ca="1" si="31"/>
        <v>241.97762955699068</v>
      </c>
      <c r="H361" s="42">
        <f t="shared" ca="1" si="32"/>
        <v>213.97762955699068</v>
      </c>
      <c r="I361" s="42">
        <f t="shared" ca="1" si="33"/>
        <v>0</v>
      </c>
    </row>
    <row r="362" spans="5:9" x14ac:dyDescent="0.25">
      <c r="E362">
        <f t="shared" si="34"/>
        <v>352</v>
      </c>
      <c r="F362" s="39">
        <f t="shared" ca="1" si="30"/>
        <v>-10.697094706176514</v>
      </c>
      <c r="G362" s="42">
        <f t="shared" ca="1" si="31"/>
        <v>-281.21574647911893</v>
      </c>
      <c r="H362" s="42">
        <f t="shared" ca="1" si="32"/>
        <v>-309.21574647911893</v>
      </c>
      <c r="I362" s="42">
        <f t="shared" ca="1" si="33"/>
        <v>0</v>
      </c>
    </row>
    <row r="363" spans="5:9" x14ac:dyDescent="0.25">
      <c r="E363">
        <f t="shared" si="34"/>
        <v>353</v>
      </c>
      <c r="F363" s="39">
        <f t="shared" ca="1" si="30"/>
        <v>89.249901867264214</v>
      </c>
      <c r="G363" s="42">
        <f t="shared" ca="1" si="31"/>
        <v>2617.247154150662</v>
      </c>
      <c r="H363" s="42">
        <f t="shared" ca="1" si="32"/>
        <v>2589.247154150662</v>
      </c>
      <c r="I363" s="42">
        <f t="shared" ca="1" si="33"/>
        <v>0</v>
      </c>
    </row>
    <row r="364" spans="5:9" x14ac:dyDescent="0.25">
      <c r="E364">
        <f t="shared" si="34"/>
        <v>354</v>
      </c>
      <c r="F364" s="39">
        <f t="shared" ca="1" si="30"/>
        <v>24.47960823502704</v>
      </c>
      <c r="G364" s="42">
        <f t="shared" ca="1" si="31"/>
        <v>738.90863881578412</v>
      </c>
      <c r="H364" s="42">
        <f t="shared" ca="1" si="32"/>
        <v>710.90863881578412</v>
      </c>
      <c r="I364" s="42">
        <f t="shared" ca="1" si="33"/>
        <v>0</v>
      </c>
    </row>
    <row r="365" spans="5:9" x14ac:dyDescent="0.25">
      <c r="E365">
        <f t="shared" si="34"/>
        <v>355</v>
      </c>
      <c r="F365" s="39">
        <f t="shared" ca="1" si="30"/>
        <v>55.549879664719576</v>
      </c>
      <c r="G365" s="42">
        <f t="shared" ca="1" si="31"/>
        <v>1639.9465102768677</v>
      </c>
      <c r="H365" s="42">
        <f t="shared" ca="1" si="32"/>
        <v>1611.9465102768677</v>
      </c>
      <c r="I365" s="42">
        <f t="shared" ca="1" si="33"/>
        <v>0</v>
      </c>
    </row>
    <row r="366" spans="5:9" x14ac:dyDescent="0.25">
      <c r="E366">
        <f t="shared" si="34"/>
        <v>356</v>
      </c>
      <c r="F366" s="39">
        <f t="shared" ca="1" si="30"/>
        <v>-5.0299869049419215</v>
      </c>
      <c r="G366" s="42">
        <f t="shared" ca="1" si="31"/>
        <v>-116.86962024331572</v>
      </c>
      <c r="H366" s="42">
        <f t="shared" ca="1" si="32"/>
        <v>-144.86962024331572</v>
      </c>
      <c r="I366" s="42">
        <f t="shared" ca="1" si="33"/>
        <v>0</v>
      </c>
    </row>
    <row r="367" spans="5:9" x14ac:dyDescent="0.25">
      <c r="E367">
        <f t="shared" si="34"/>
        <v>357</v>
      </c>
      <c r="F367" s="39">
        <f t="shared" ca="1" si="30"/>
        <v>6.4495284785136811</v>
      </c>
      <c r="G367" s="42">
        <f t="shared" ca="1" si="31"/>
        <v>216.03632587689674</v>
      </c>
      <c r="H367" s="42">
        <f t="shared" ca="1" si="32"/>
        <v>188.03632587689674</v>
      </c>
      <c r="I367" s="42">
        <f t="shared" ca="1" si="33"/>
        <v>0</v>
      </c>
    </row>
    <row r="368" spans="5:9" x14ac:dyDescent="0.25">
      <c r="E368">
        <f t="shared" si="34"/>
        <v>358</v>
      </c>
      <c r="F368" s="39">
        <f t="shared" ca="1" si="30"/>
        <v>20.097361030622643</v>
      </c>
      <c r="G368" s="42">
        <f t="shared" ca="1" si="31"/>
        <v>611.82346988805671</v>
      </c>
      <c r="H368" s="42">
        <f t="shared" ca="1" si="32"/>
        <v>583.82346988805671</v>
      </c>
      <c r="I368" s="42">
        <f t="shared" ca="1" si="33"/>
        <v>0</v>
      </c>
    </row>
    <row r="369" spans="5:9" x14ac:dyDescent="0.25">
      <c r="E369">
        <f t="shared" si="34"/>
        <v>359</v>
      </c>
      <c r="F369" s="39">
        <f t="shared" ca="1" si="30"/>
        <v>20.496604936323177</v>
      </c>
      <c r="G369" s="42">
        <f t="shared" ca="1" si="31"/>
        <v>623.40154315337213</v>
      </c>
      <c r="H369" s="42">
        <f t="shared" ca="1" si="32"/>
        <v>595.40154315337213</v>
      </c>
      <c r="I369" s="42">
        <f t="shared" ca="1" si="33"/>
        <v>0</v>
      </c>
    </row>
    <row r="370" spans="5:9" x14ac:dyDescent="0.25">
      <c r="E370">
        <f t="shared" si="34"/>
        <v>360</v>
      </c>
      <c r="F370" s="39">
        <f t="shared" ca="1" si="30"/>
        <v>-3.0810325481532672</v>
      </c>
      <c r="G370" s="42">
        <f t="shared" ca="1" si="31"/>
        <v>-60.349943896444749</v>
      </c>
      <c r="H370" s="42">
        <f t="shared" ca="1" si="32"/>
        <v>-88.349943896444756</v>
      </c>
      <c r="I370" s="42">
        <f t="shared" ca="1" si="33"/>
        <v>0</v>
      </c>
    </row>
    <row r="371" spans="5:9" x14ac:dyDescent="0.25">
      <c r="E371">
        <f t="shared" si="34"/>
        <v>361</v>
      </c>
      <c r="F371" s="39">
        <f t="shared" ca="1" si="30"/>
        <v>-7.4890517383821802</v>
      </c>
      <c r="G371" s="42">
        <f t="shared" ca="1" si="31"/>
        <v>-188.18250041308323</v>
      </c>
      <c r="H371" s="42">
        <f t="shared" ca="1" si="32"/>
        <v>-216.18250041308323</v>
      </c>
      <c r="I371" s="42">
        <f t="shared" ca="1" si="33"/>
        <v>0</v>
      </c>
    </row>
    <row r="372" spans="5:9" x14ac:dyDescent="0.25">
      <c r="E372">
        <f t="shared" si="34"/>
        <v>362</v>
      </c>
      <c r="F372" s="39">
        <f t="shared" ca="1" si="30"/>
        <v>-9.6003100623346711</v>
      </c>
      <c r="G372" s="42">
        <f t="shared" ca="1" si="31"/>
        <v>-249.40899180770546</v>
      </c>
      <c r="H372" s="42">
        <f t="shared" ca="1" si="32"/>
        <v>-277.40899180770543</v>
      </c>
      <c r="I372" s="42">
        <f t="shared" ca="1" si="33"/>
        <v>0</v>
      </c>
    </row>
    <row r="373" spans="5:9" x14ac:dyDescent="0.25">
      <c r="E373">
        <f t="shared" si="34"/>
        <v>363</v>
      </c>
      <c r="F373" s="39">
        <f t="shared" ca="1" si="30"/>
        <v>12.646263272593128</v>
      </c>
      <c r="G373" s="42">
        <f t="shared" ca="1" si="31"/>
        <v>395.74163490520073</v>
      </c>
      <c r="H373" s="42">
        <f t="shared" ca="1" si="32"/>
        <v>367.74163490520073</v>
      </c>
      <c r="I373" s="42">
        <f t="shared" ca="1" si="33"/>
        <v>0</v>
      </c>
    </row>
    <row r="374" spans="5:9" x14ac:dyDescent="0.25">
      <c r="E374">
        <f t="shared" si="34"/>
        <v>364</v>
      </c>
      <c r="F374" s="39">
        <f t="shared" ca="1" si="30"/>
        <v>-12.513266522547347</v>
      </c>
      <c r="G374" s="42">
        <f t="shared" ca="1" si="31"/>
        <v>-333.88472915387308</v>
      </c>
      <c r="H374" s="42">
        <f t="shared" ca="1" si="32"/>
        <v>-361.88472915387308</v>
      </c>
      <c r="I374" s="42">
        <f t="shared" ca="1" si="33"/>
        <v>0</v>
      </c>
    </row>
    <row r="375" spans="5:9" x14ac:dyDescent="0.25">
      <c r="E375">
        <f t="shared" si="34"/>
        <v>365</v>
      </c>
      <c r="F375" s="39">
        <f t="shared" ca="1" si="30"/>
        <v>-18.305004567088638</v>
      </c>
      <c r="G375" s="42">
        <f t="shared" ca="1" si="31"/>
        <v>-501.84513244557047</v>
      </c>
      <c r="H375" s="42">
        <f t="shared" ca="1" si="32"/>
        <v>-529.84513244557047</v>
      </c>
      <c r="I375" s="42">
        <f t="shared" ca="1" si="33"/>
        <v>0</v>
      </c>
    </row>
    <row r="376" spans="5:9" x14ac:dyDescent="0.25">
      <c r="E376">
        <f t="shared" si="34"/>
        <v>366</v>
      </c>
      <c r="F376" s="39">
        <f t="shared" ca="1" si="30"/>
        <v>18.607412849730146</v>
      </c>
      <c r="G376" s="42">
        <f t="shared" ca="1" si="31"/>
        <v>568.61497264217428</v>
      </c>
      <c r="H376" s="42">
        <f t="shared" ca="1" si="32"/>
        <v>540.61497264217428</v>
      </c>
      <c r="I376" s="42">
        <f t="shared" ca="1" si="33"/>
        <v>0</v>
      </c>
    </row>
    <row r="377" spans="5:9" x14ac:dyDescent="0.25">
      <c r="E377">
        <f t="shared" si="34"/>
        <v>367</v>
      </c>
      <c r="F377" s="39">
        <f t="shared" ca="1" si="30"/>
        <v>38.957701696916537</v>
      </c>
      <c r="G377" s="42">
        <f t="shared" ca="1" si="31"/>
        <v>1158.7733492105797</v>
      </c>
      <c r="H377" s="42">
        <f t="shared" ca="1" si="32"/>
        <v>1130.7733492105797</v>
      </c>
      <c r="I377" s="42">
        <f t="shared" ca="1" si="33"/>
        <v>0</v>
      </c>
    </row>
    <row r="378" spans="5:9" x14ac:dyDescent="0.25">
      <c r="E378">
        <f t="shared" si="34"/>
        <v>368</v>
      </c>
      <c r="F378" s="39">
        <f t="shared" ca="1" si="30"/>
        <v>81.763916558992292</v>
      </c>
      <c r="G378" s="42">
        <f t="shared" ca="1" si="31"/>
        <v>2400.1535802107765</v>
      </c>
      <c r="H378" s="42">
        <f t="shared" ca="1" si="32"/>
        <v>2372.1535802107765</v>
      </c>
      <c r="I378" s="42">
        <f t="shared" ca="1" si="33"/>
        <v>0</v>
      </c>
    </row>
    <row r="379" spans="5:9" x14ac:dyDescent="0.25">
      <c r="E379">
        <f t="shared" si="34"/>
        <v>369</v>
      </c>
      <c r="F379" s="39">
        <f t="shared" ca="1" si="30"/>
        <v>7.8818059277719925</v>
      </c>
      <c r="G379" s="42">
        <f t="shared" ca="1" si="31"/>
        <v>257.5723719053878</v>
      </c>
      <c r="H379" s="42">
        <f t="shared" ca="1" si="32"/>
        <v>229.5723719053878</v>
      </c>
      <c r="I379" s="42">
        <f t="shared" ca="1" si="33"/>
        <v>0</v>
      </c>
    </row>
    <row r="380" spans="5:9" x14ac:dyDescent="0.25">
      <c r="E380">
        <f t="shared" si="34"/>
        <v>370</v>
      </c>
      <c r="F380" s="39">
        <f t="shared" ca="1" si="30"/>
        <v>91.472163626440945</v>
      </c>
      <c r="G380" s="42">
        <f t="shared" ca="1" si="31"/>
        <v>2681.6927451667875</v>
      </c>
      <c r="H380" s="42">
        <f t="shared" ca="1" si="32"/>
        <v>2653.6927451667875</v>
      </c>
      <c r="I380" s="42">
        <f t="shared" ca="1" si="33"/>
        <v>0</v>
      </c>
    </row>
    <row r="381" spans="5:9" x14ac:dyDescent="0.25">
      <c r="E381">
        <f t="shared" si="34"/>
        <v>371</v>
      </c>
      <c r="F381" s="39">
        <f t="shared" ca="1" si="30"/>
        <v>50.759786554064434</v>
      </c>
      <c r="G381" s="42">
        <f t="shared" ca="1" si="31"/>
        <v>1501.0338100678687</v>
      </c>
      <c r="H381" s="42">
        <f t="shared" ca="1" si="32"/>
        <v>1473.0338100678687</v>
      </c>
      <c r="I381" s="42">
        <f t="shared" ca="1" si="33"/>
        <v>0</v>
      </c>
    </row>
    <row r="382" spans="5:9" x14ac:dyDescent="0.25">
      <c r="E382">
        <f t="shared" si="34"/>
        <v>372</v>
      </c>
      <c r="F382" s="39">
        <f t="shared" ca="1" si="30"/>
        <v>73.780013717577475</v>
      </c>
      <c r="G382" s="42">
        <f t="shared" ca="1" si="31"/>
        <v>2168.6203978097469</v>
      </c>
      <c r="H382" s="42">
        <f t="shared" ca="1" si="32"/>
        <v>2140.6203978097469</v>
      </c>
      <c r="I382" s="42">
        <f t="shared" ca="1" si="33"/>
        <v>0</v>
      </c>
    </row>
    <row r="383" spans="5:9" x14ac:dyDescent="0.25">
      <c r="E383">
        <f t="shared" si="34"/>
        <v>373</v>
      </c>
      <c r="F383" s="39">
        <f t="shared" ca="1" si="30"/>
        <v>15.228724583931296</v>
      </c>
      <c r="G383" s="42">
        <f t="shared" ca="1" si="31"/>
        <v>470.63301293400758</v>
      </c>
      <c r="H383" s="42">
        <f t="shared" ca="1" si="32"/>
        <v>442.63301293400758</v>
      </c>
      <c r="I383" s="42">
        <f t="shared" ca="1" si="33"/>
        <v>0</v>
      </c>
    </row>
    <row r="384" spans="5:9" x14ac:dyDescent="0.25">
      <c r="E384">
        <f t="shared" si="34"/>
        <v>374</v>
      </c>
      <c r="F384" s="39">
        <f t="shared" ca="1" si="30"/>
        <v>12.811125624242194</v>
      </c>
      <c r="G384" s="42">
        <f t="shared" ca="1" si="31"/>
        <v>400.52264310302365</v>
      </c>
      <c r="H384" s="42">
        <f t="shared" ca="1" si="32"/>
        <v>372.52264310302365</v>
      </c>
      <c r="I384" s="42">
        <f t="shared" ca="1" si="33"/>
        <v>0</v>
      </c>
    </row>
    <row r="385" spans="5:9" x14ac:dyDescent="0.25">
      <c r="E385">
        <f t="shared" si="34"/>
        <v>375</v>
      </c>
      <c r="F385" s="39">
        <f t="shared" ca="1" si="30"/>
        <v>71.006827268585596</v>
      </c>
      <c r="G385" s="42">
        <f t="shared" ca="1" si="31"/>
        <v>2088.1979907889822</v>
      </c>
      <c r="H385" s="42">
        <f t="shared" ca="1" si="32"/>
        <v>2060.1979907889822</v>
      </c>
      <c r="I385" s="42">
        <f t="shared" ca="1" si="33"/>
        <v>0</v>
      </c>
    </row>
    <row r="386" spans="5:9" x14ac:dyDescent="0.25">
      <c r="E386">
        <f t="shared" si="34"/>
        <v>376</v>
      </c>
      <c r="F386" s="39">
        <f t="shared" ca="1" si="30"/>
        <v>81.872442762231984</v>
      </c>
      <c r="G386" s="42">
        <f t="shared" ca="1" si="31"/>
        <v>2403.3008401047277</v>
      </c>
      <c r="H386" s="42">
        <f t="shared" ca="1" si="32"/>
        <v>2375.3008401047277</v>
      </c>
      <c r="I386" s="42">
        <f t="shared" ca="1" si="33"/>
        <v>0</v>
      </c>
    </row>
    <row r="387" spans="5:9" x14ac:dyDescent="0.25">
      <c r="E387">
        <f t="shared" si="34"/>
        <v>377</v>
      </c>
      <c r="F387" s="39">
        <f t="shared" ca="1" si="30"/>
        <v>51.643513231774008</v>
      </c>
      <c r="G387" s="42">
        <f t="shared" ca="1" si="31"/>
        <v>1526.6618837214462</v>
      </c>
      <c r="H387" s="42">
        <f t="shared" ca="1" si="32"/>
        <v>1498.6618837214462</v>
      </c>
      <c r="I387" s="42">
        <f t="shared" ca="1" si="33"/>
        <v>0</v>
      </c>
    </row>
    <row r="388" spans="5:9" x14ac:dyDescent="0.25">
      <c r="E388">
        <f t="shared" si="34"/>
        <v>378</v>
      </c>
      <c r="F388" s="39">
        <f t="shared" ca="1" si="30"/>
        <v>20.488986769582372</v>
      </c>
      <c r="G388" s="42">
        <f t="shared" ca="1" si="31"/>
        <v>623.18061631788873</v>
      </c>
      <c r="H388" s="42">
        <f t="shared" ca="1" si="32"/>
        <v>595.18061631788873</v>
      </c>
      <c r="I388" s="42">
        <f t="shared" ca="1" si="33"/>
        <v>0</v>
      </c>
    </row>
    <row r="389" spans="5:9" x14ac:dyDescent="0.25">
      <c r="E389">
        <f t="shared" si="34"/>
        <v>379</v>
      </c>
      <c r="F389" s="39">
        <f t="shared" ca="1" si="30"/>
        <v>42.438670159951464</v>
      </c>
      <c r="G389" s="42">
        <f t="shared" ca="1" si="31"/>
        <v>1259.7214346385924</v>
      </c>
      <c r="H389" s="42">
        <f t="shared" ca="1" si="32"/>
        <v>1231.7214346385924</v>
      </c>
      <c r="I389" s="42">
        <f t="shared" ca="1" si="33"/>
        <v>0</v>
      </c>
    </row>
    <row r="390" spans="5:9" x14ac:dyDescent="0.25">
      <c r="E390">
        <f t="shared" si="34"/>
        <v>380</v>
      </c>
      <c r="F390" s="39">
        <f t="shared" ca="1" si="30"/>
        <v>12.753731635181278</v>
      </c>
      <c r="G390" s="42">
        <f t="shared" ca="1" si="31"/>
        <v>398.85821742025706</v>
      </c>
      <c r="H390" s="42">
        <f t="shared" ca="1" si="32"/>
        <v>370.85821742025706</v>
      </c>
      <c r="I390" s="42">
        <f t="shared" ca="1" si="33"/>
        <v>0</v>
      </c>
    </row>
    <row r="391" spans="5:9" x14ac:dyDescent="0.25">
      <c r="E391">
        <f t="shared" si="34"/>
        <v>381</v>
      </c>
      <c r="F391" s="39">
        <f t="shared" ca="1" si="30"/>
        <v>-11.759042499562767</v>
      </c>
      <c r="G391" s="42">
        <f t="shared" ca="1" si="31"/>
        <v>-312.01223248732026</v>
      </c>
      <c r="H391" s="42">
        <f t="shared" ca="1" si="32"/>
        <v>-340.01223248732026</v>
      </c>
      <c r="I391" s="42">
        <f t="shared" ca="1" si="33"/>
        <v>0</v>
      </c>
    </row>
    <row r="392" spans="5:9" x14ac:dyDescent="0.25">
      <c r="E392">
        <f t="shared" si="34"/>
        <v>382</v>
      </c>
      <c r="F392" s="39">
        <f t="shared" ca="1" si="30"/>
        <v>41.13391822623597</v>
      </c>
      <c r="G392" s="42">
        <f t="shared" ca="1" si="31"/>
        <v>1221.8836285608431</v>
      </c>
      <c r="H392" s="42">
        <f t="shared" ca="1" si="32"/>
        <v>1193.8836285608431</v>
      </c>
      <c r="I392" s="42">
        <f t="shared" ca="1" si="33"/>
        <v>0</v>
      </c>
    </row>
    <row r="393" spans="5:9" x14ac:dyDescent="0.25">
      <c r="E393">
        <f t="shared" si="34"/>
        <v>383</v>
      </c>
      <c r="F393" s="39">
        <f t="shared" ca="1" si="30"/>
        <v>79.943834264772022</v>
      </c>
      <c r="G393" s="42">
        <f t="shared" ca="1" si="31"/>
        <v>2347.3711936783884</v>
      </c>
      <c r="H393" s="42">
        <f t="shared" ca="1" si="32"/>
        <v>2319.3711936783884</v>
      </c>
      <c r="I393" s="42">
        <f t="shared" ca="1" si="33"/>
        <v>0</v>
      </c>
    </row>
    <row r="394" spans="5:9" x14ac:dyDescent="0.25">
      <c r="E394">
        <f t="shared" si="34"/>
        <v>384</v>
      </c>
      <c r="F394" s="39">
        <f t="shared" ca="1" si="30"/>
        <v>14.079269412502509</v>
      </c>
      <c r="G394" s="42">
        <f t="shared" ca="1" si="31"/>
        <v>437.29881296257275</v>
      </c>
      <c r="H394" s="42">
        <f t="shared" ca="1" si="32"/>
        <v>409.29881296257275</v>
      </c>
      <c r="I394" s="42">
        <f t="shared" ca="1" si="33"/>
        <v>0</v>
      </c>
    </row>
    <row r="395" spans="5:9" x14ac:dyDescent="0.25">
      <c r="E395">
        <f t="shared" si="34"/>
        <v>385</v>
      </c>
      <c r="F395" s="39">
        <f t="shared" ca="1" si="30"/>
        <v>71.320218808194042</v>
      </c>
      <c r="G395" s="42">
        <f t="shared" ca="1" si="31"/>
        <v>2097.286345437627</v>
      </c>
      <c r="H395" s="42">
        <f t="shared" ca="1" si="32"/>
        <v>2069.286345437627</v>
      </c>
      <c r="I395" s="42">
        <f t="shared" ca="1" si="33"/>
        <v>0</v>
      </c>
    </row>
    <row r="396" spans="5:9" x14ac:dyDescent="0.25">
      <c r="E396">
        <f t="shared" si="34"/>
        <v>386</v>
      </c>
      <c r="F396" s="39">
        <f t="shared" ref="F396:F459" ca="1" si="35">_xlfn.NORM.INV(RAND(),$E$45,$E$46)</f>
        <v>-40.022519760055218</v>
      </c>
      <c r="G396" s="42">
        <f t="shared" ref="G396:G459" ca="1" si="36">$E$39*(1+F396)</f>
        <v>-1131.6530730416014</v>
      </c>
      <c r="H396" s="42">
        <f t="shared" ref="H396:H459" ca="1" si="37">MAX(G396-$E$38)</f>
        <v>-1159.6530730416014</v>
      </c>
      <c r="I396" s="42">
        <f t="shared" ref="I396:I459" ca="1" si="38">MAX($E$38-$H$43,0)</f>
        <v>0</v>
      </c>
    </row>
    <row r="397" spans="5:9" x14ac:dyDescent="0.25">
      <c r="E397">
        <f t="shared" ref="E397:E460" si="39">E396+1</f>
        <v>387</v>
      </c>
      <c r="F397" s="39">
        <f t="shared" ca="1" si="35"/>
        <v>-7.9020199426835589</v>
      </c>
      <c r="G397" s="42">
        <f t="shared" ca="1" si="36"/>
        <v>-200.1585783378232</v>
      </c>
      <c r="H397" s="42">
        <f t="shared" ca="1" si="37"/>
        <v>-228.1585783378232</v>
      </c>
      <c r="I397" s="42">
        <f t="shared" ca="1" si="38"/>
        <v>0</v>
      </c>
    </row>
    <row r="398" spans="5:9" x14ac:dyDescent="0.25">
      <c r="E398">
        <f t="shared" si="39"/>
        <v>388</v>
      </c>
      <c r="F398" s="39">
        <f t="shared" ca="1" si="35"/>
        <v>112.98806400210754</v>
      </c>
      <c r="G398" s="42">
        <f t="shared" ca="1" si="36"/>
        <v>3305.6538560611184</v>
      </c>
      <c r="H398" s="42">
        <f t="shared" ca="1" si="37"/>
        <v>3277.6538560611184</v>
      </c>
      <c r="I398" s="42">
        <f t="shared" ca="1" si="38"/>
        <v>0</v>
      </c>
    </row>
    <row r="399" spans="5:9" x14ac:dyDescent="0.25">
      <c r="E399">
        <f t="shared" si="39"/>
        <v>389</v>
      </c>
      <c r="F399" s="39">
        <f t="shared" ca="1" si="35"/>
        <v>36.472739223736276</v>
      </c>
      <c r="G399" s="42">
        <f t="shared" ca="1" si="36"/>
        <v>1086.709437488352</v>
      </c>
      <c r="H399" s="42">
        <f t="shared" ca="1" si="37"/>
        <v>1058.709437488352</v>
      </c>
      <c r="I399" s="42">
        <f t="shared" ca="1" si="38"/>
        <v>0</v>
      </c>
    </row>
    <row r="400" spans="5:9" x14ac:dyDescent="0.25">
      <c r="E400">
        <f t="shared" si="39"/>
        <v>390</v>
      </c>
      <c r="F400" s="39">
        <f t="shared" ca="1" si="35"/>
        <v>67.069717612268761</v>
      </c>
      <c r="G400" s="42">
        <f t="shared" ca="1" si="36"/>
        <v>1974.0218107557941</v>
      </c>
      <c r="H400" s="42">
        <f t="shared" ca="1" si="37"/>
        <v>1946.0218107557941</v>
      </c>
      <c r="I400" s="42">
        <f t="shared" ca="1" si="38"/>
        <v>0</v>
      </c>
    </row>
    <row r="401" spans="5:9" x14ac:dyDescent="0.25">
      <c r="E401">
        <f t="shared" si="39"/>
        <v>391</v>
      </c>
      <c r="F401" s="39">
        <f t="shared" ca="1" si="35"/>
        <v>26.740522057655745</v>
      </c>
      <c r="G401" s="42">
        <f t="shared" ca="1" si="36"/>
        <v>804.47513967201667</v>
      </c>
      <c r="H401" s="42">
        <f t="shared" ca="1" si="37"/>
        <v>776.47513967201667</v>
      </c>
      <c r="I401" s="42">
        <f t="shared" ca="1" si="38"/>
        <v>0</v>
      </c>
    </row>
    <row r="402" spans="5:9" x14ac:dyDescent="0.25">
      <c r="E402">
        <f t="shared" si="39"/>
        <v>392</v>
      </c>
      <c r="F402" s="39">
        <f t="shared" ca="1" si="35"/>
        <v>45.402312805117518</v>
      </c>
      <c r="G402" s="42">
        <f t="shared" ca="1" si="36"/>
        <v>1345.6670713484079</v>
      </c>
      <c r="H402" s="42">
        <f t="shared" ca="1" si="37"/>
        <v>1317.6670713484079</v>
      </c>
      <c r="I402" s="42">
        <f t="shared" ca="1" si="38"/>
        <v>0</v>
      </c>
    </row>
    <row r="403" spans="5:9" x14ac:dyDescent="0.25">
      <c r="E403">
        <f t="shared" si="39"/>
        <v>393</v>
      </c>
      <c r="F403" s="39">
        <f t="shared" ca="1" si="35"/>
        <v>96.407338007137369</v>
      </c>
      <c r="G403" s="42">
        <f t="shared" ca="1" si="36"/>
        <v>2824.8128022069836</v>
      </c>
      <c r="H403" s="42">
        <f t="shared" ca="1" si="37"/>
        <v>2796.8128022069836</v>
      </c>
      <c r="I403" s="42">
        <f t="shared" ca="1" si="38"/>
        <v>0</v>
      </c>
    </row>
    <row r="404" spans="5:9" x14ac:dyDescent="0.25">
      <c r="E404">
        <f t="shared" si="39"/>
        <v>394</v>
      </c>
      <c r="F404" s="39">
        <f t="shared" ca="1" si="35"/>
        <v>37.710325545486974</v>
      </c>
      <c r="G404" s="42">
        <f t="shared" ca="1" si="36"/>
        <v>1122.5994408191223</v>
      </c>
      <c r="H404" s="42">
        <f t="shared" ca="1" si="37"/>
        <v>1094.5994408191223</v>
      </c>
      <c r="I404" s="42">
        <f t="shared" ca="1" si="38"/>
        <v>0</v>
      </c>
    </row>
    <row r="405" spans="5:9" x14ac:dyDescent="0.25">
      <c r="E405">
        <f t="shared" si="39"/>
        <v>395</v>
      </c>
      <c r="F405" s="39">
        <f t="shared" ca="1" si="35"/>
        <v>1.9038476747026891</v>
      </c>
      <c r="G405" s="42">
        <f t="shared" ca="1" si="36"/>
        <v>84.211582566377984</v>
      </c>
      <c r="H405" s="42">
        <f t="shared" ca="1" si="37"/>
        <v>56.211582566377984</v>
      </c>
      <c r="I405" s="42">
        <f t="shared" ca="1" si="38"/>
        <v>0</v>
      </c>
    </row>
    <row r="406" spans="5:9" x14ac:dyDescent="0.25">
      <c r="E406">
        <f t="shared" si="39"/>
        <v>396</v>
      </c>
      <c r="F406" s="39">
        <f t="shared" ca="1" si="35"/>
        <v>59.959765068209663</v>
      </c>
      <c r="G406" s="42">
        <f t="shared" ca="1" si="36"/>
        <v>1767.8331869780802</v>
      </c>
      <c r="H406" s="42">
        <f t="shared" ca="1" si="37"/>
        <v>1739.8331869780802</v>
      </c>
      <c r="I406" s="42">
        <f t="shared" ca="1" si="38"/>
        <v>0</v>
      </c>
    </row>
    <row r="407" spans="5:9" x14ac:dyDescent="0.25">
      <c r="E407">
        <f t="shared" si="39"/>
        <v>397</v>
      </c>
      <c r="F407" s="39">
        <f t="shared" ca="1" si="35"/>
        <v>26.068839890615408</v>
      </c>
      <c r="G407" s="42">
        <f t="shared" ca="1" si="36"/>
        <v>784.99635682784685</v>
      </c>
      <c r="H407" s="42">
        <f t="shared" ca="1" si="37"/>
        <v>756.99635682784685</v>
      </c>
      <c r="I407" s="42">
        <f t="shared" ca="1" si="38"/>
        <v>0</v>
      </c>
    </row>
    <row r="408" spans="5:9" x14ac:dyDescent="0.25">
      <c r="E408">
        <f t="shared" si="39"/>
        <v>398</v>
      </c>
      <c r="F408" s="39">
        <f t="shared" ca="1" si="35"/>
        <v>-14.542687352180039</v>
      </c>
      <c r="G408" s="42">
        <f t="shared" ca="1" si="36"/>
        <v>-392.73793321322114</v>
      </c>
      <c r="H408" s="42">
        <f t="shared" ca="1" si="37"/>
        <v>-420.73793321322114</v>
      </c>
      <c r="I408" s="42">
        <f t="shared" ca="1" si="38"/>
        <v>0</v>
      </c>
    </row>
    <row r="409" spans="5:9" x14ac:dyDescent="0.25">
      <c r="E409">
        <f t="shared" si="39"/>
        <v>399</v>
      </c>
      <c r="F409" s="39">
        <f t="shared" ca="1" si="35"/>
        <v>-4.2956571645897412</v>
      </c>
      <c r="G409" s="42">
        <f t="shared" ca="1" si="36"/>
        <v>-95.574057773102496</v>
      </c>
      <c r="H409" s="42">
        <f t="shared" ca="1" si="37"/>
        <v>-123.5740577731025</v>
      </c>
      <c r="I409" s="42">
        <f t="shared" ca="1" si="38"/>
        <v>0</v>
      </c>
    </row>
    <row r="410" spans="5:9" x14ac:dyDescent="0.25">
      <c r="E410">
        <f t="shared" si="39"/>
        <v>400</v>
      </c>
      <c r="F410" s="39">
        <f t="shared" ca="1" si="35"/>
        <v>104.75340370146422</v>
      </c>
      <c r="G410" s="42">
        <f t="shared" ca="1" si="36"/>
        <v>3066.8487073424626</v>
      </c>
      <c r="H410" s="42">
        <f t="shared" ca="1" si="37"/>
        <v>3038.8487073424626</v>
      </c>
      <c r="I410" s="42">
        <f t="shared" ca="1" si="38"/>
        <v>0</v>
      </c>
    </row>
    <row r="411" spans="5:9" x14ac:dyDescent="0.25">
      <c r="E411">
        <f t="shared" si="39"/>
        <v>401</v>
      </c>
      <c r="F411" s="39">
        <f t="shared" ca="1" si="35"/>
        <v>61.118414207575654</v>
      </c>
      <c r="G411" s="42">
        <f t="shared" ca="1" si="36"/>
        <v>1801.4340120196939</v>
      </c>
      <c r="H411" s="42">
        <f t="shared" ca="1" si="37"/>
        <v>1773.4340120196939</v>
      </c>
      <c r="I411" s="42">
        <f t="shared" ca="1" si="38"/>
        <v>0</v>
      </c>
    </row>
    <row r="412" spans="5:9" x14ac:dyDescent="0.25">
      <c r="E412">
        <f t="shared" si="39"/>
        <v>402</v>
      </c>
      <c r="F412" s="39">
        <f t="shared" ca="1" si="35"/>
        <v>4.7292289247256676</v>
      </c>
      <c r="G412" s="42">
        <f t="shared" ca="1" si="36"/>
        <v>166.14763881704437</v>
      </c>
      <c r="H412" s="42">
        <f t="shared" ca="1" si="37"/>
        <v>138.14763881704437</v>
      </c>
      <c r="I412" s="42">
        <f t="shared" ca="1" si="38"/>
        <v>0</v>
      </c>
    </row>
    <row r="413" spans="5:9" x14ac:dyDescent="0.25">
      <c r="E413">
        <f t="shared" si="39"/>
        <v>403</v>
      </c>
      <c r="F413" s="39">
        <f t="shared" ca="1" si="35"/>
        <v>62.514231916189395</v>
      </c>
      <c r="G413" s="42">
        <f t="shared" ca="1" si="36"/>
        <v>1841.9127255694925</v>
      </c>
      <c r="H413" s="42">
        <f t="shared" ca="1" si="37"/>
        <v>1813.9127255694925</v>
      </c>
      <c r="I413" s="42">
        <f t="shared" ca="1" si="38"/>
        <v>0</v>
      </c>
    </row>
    <row r="414" spans="5:9" x14ac:dyDescent="0.25">
      <c r="E414">
        <f t="shared" si="39"/>
        <v>404</v>
      </c>
      <c r="F414" s="39">
        <f t="shared" ca="1" si="35"/>
        <v>-10.457586779335763</v>
      </c>
      <c r="G414" s="42">
        <f t="shared" ca="1" si="36"/>
        <v>-274.27001660073711</v>
      </c>
      <c r="H414" s="42">
        <f t="shared" ca="1" si="37"/>
        <v>-302.27001660073711</v>
      </c>
      <c r="I414" s="42">
        <f t="shared" ca="1" si="38"/>
        <v>0</v>
      </c>
    </row>
    <row r="415" spans="5:9" x14ac:dyDescent="0.25">
      <c r="E415">
        <f t="shared" si="39"/>
        <v>405</v>
      </c>
      <c r="F415" s="39">
        <f t="shared" ca="1" si="35"/>
        <v>30.872617441377209</v>
      </c>
      <c r="G415" s="42">
        <f t="shared" ca="1" si="36"/>
        <v>924.30590579993907</v>
      </c>
      <c r="H415" s="42">
        <f t="shared" ca="1" si="37"/>
        <v>896.30590579993907</v>
      </c>
      <c r="I415" s="42">
        <f t="shared" ca="1" si="38"/>
        <v>0</v>
      </c>
    </row>
    <row r="416" spans="5:9" x14ac:dyDescent="0.25">
      <c r="E416">
        <f t="shared" si="39"/>
        <v>406</v>
      </c>
      <c r="F416" s="39">
        <f t="shared" ca="1" si="35"/>
        <v>-12.711176355411411</v>
      </c>
      <c r="G416" s="42">
        <f t="shared" ca="1" si="36"/>
        <v>-339.62411430693089</v>
      </c>
      <c r="H416" s="42">
        <f t="shared" ca="1" si="37"/>
        <v>-367.62411430693089</v>
      </c>
      <c r="I416" s="42">
        <f t="shared" ca="1" si="38"/>
        <v>0</v>
      </c>
    </row>
    <row r="417" spans="5:9" x14ac:dyDescent="0.25">
      <c r="E417">
        <f t="shared" si="39"/>
        <v>407</v>
      </c>
      <c r="F417" s="39">
        <f t="shared" ca="1" si="35"/>
        <v>-13.867802668335798</v>
      </c>
      <c r="G417" s="42">
        <f t="shared" ca="1" si="36"/>
        <v>-373.16627738173815</v>
      </c>
      <c r="H417" s="42">
        <f t="shared" ca="1" si="37"/>
        <v>-401.16627738173815</v>
      </c>
      <c r="I417" s="42">
        <f t="shared" ca="1" si="38"/>
        <v>0</v>
      </c>
    </row>
    <row r="418" spans="5:9" x14ac:dyDescent="0.25">
      <c r="E418">
        <f t="shared" si="39"/>
        <v>408</v>
      </c>
      <c r="F418" s="39">
        <f t="shared" ca="1" si="35"/>
        <v>96.255001054548103</v>
      </c>
      <c r="G418" s="42">
        <f t="shared" ca="1" si="36"/>
        <v>2820.3950305818948</v>
      </c>
      <c r="H418" s="42">
        <f t="shared" ca="1" si="37"/>
        <v>2792.3950305818948</v>
      </c>
      <c r="I418" s="42">
        <f t="shared" ca="1" si="38"/>
        <v>0</v>
      </c>
    </row>
    <row r="419" spans="5:9" x14ac:dyDescent="0.25">
      <c r="E419">
        <f t="shared" si="39"/>
        <v>409</v>
      </c>
      <c r="F419" s="39">
        <f t="shared" ca="1" si="35"/>
        <v>93.642913987403261</v>
      </c>
      <c r="G419" s="42">
        <f t="shared" ca="1" si="36"/>
        <v>2744.6445056346947</v>
      </c>
      <c r="H419" s="42">
        <f t="shared" ca="1" si="37"/>
        <v>2716.6445056346947</v>
      </c>
      <c r="I419" s="42">
        <f t="shared" ca="1" si="38"/>
        <v>0</v>
      </c>
    </row>
    <row r="420" spans="5:9" x14ac:dyDescent="0.25">
      <c r="E420">
        <f t="shared" si="39"/>
        <v>410</v>
      </c>
      <c r="F420" s="39">
        <f t="shared" ca="1" si="35"/>
        <v>69.492107856392991</v>
      </c>
      <c r="G420" s="42">
        <f t="shared" ca="1" si="36"/>
        <v>2044.2711278353968</v>
      </c>
      <c r="H420" s="42">
        <f t="shared" ca="1" si="37"/>
        <v>2016.2711278353968</v>
      </c>
      <c r="I420" s="42">
        <f t="shared" ca="1" si="38"/>
        <v>0</v>
      </c>
    </row>
    <row r="421" spans="5:9" x14ac:dyDescent="0.25">
      <c r="E421">
        <f t="shared" si="39"/>
        <v>411</v>
      </c>
      <c r="F421" s="39">
        <f t="shared" ca="1" si="35"/>
        <v>33.131343822831205</v>
      </c>
      <c r="G421" s="42">
        <f t="shared" ca="1" si="36"/>
        <v>989.80897086210496</v>
      </c>
      <c r="H421" s="42">
        <f t="shared" ca="1" si="37"/>
        <v>961.80897086210496</v>
      </c>
      <c r="I421" s="42">
        <f t="shared" ca="1" si="38"/>
        <v>0</v>
      </c>
    </row>
    <row r="422" spans="5:9" x14ac:dyDescent="0.25">
      <c r="E422">
        <f t="shared" si="39"/>
        <v>412</v>
      </c>
      <c r="F422" s="39">
        <f t="shared" ca="1" si="35"/>
        <v>19.229642724012756</v>
      </c>
      <c r="G422" s="42">
        <f t="shared" ca="1" si="36"/>
        <v>586.65963899636995</v>
      </c>
      <c r="H422" s="42">
        <f t="shared" ca="1" si="37"/>
        <v>558.65963899636995</v>
      </c>
      <c r="I422" s="42">
        <f t="shared" ca="1" si="38"/>
        <v>0</v>
      </c>
    </row>
    <row r="423" spans="5:9" x14ac:dyDescent="0.25">
      <c r="E423">
        <f t="shared" si="39"/>
        <v>413</v>
      </c>
      <c r="F423" s="39">
        <f t="shared" ca="1" si="35"/>
        <v>55.774243470344523</v>
      </c>
      <c r="G423" s="42">
        <f t="shared" ca="1" si="36"/>
        <v>1646.4530606399912</v>
      </c>
      <c r="H423" s="42">
        <f t="shared" ca="1" si="37"/>
        <v>1618.4530606399912</v>
      </c>
      <c r="I423" s="42">
        <f t="shared" ca="1" si="38"/>
        <v>0</v>
      </c>
    </row>
    <row r="424" spans="5:9" x14ac:dyDescent="0.25">
      <c r="E424">
        <f t="shared" si="39"/>
        <v>414</v>
      </c>
      <c r="F424" s="39">
        <f t="shared" ca="1" si="35"/>
        <v>50.599698953727717</v>
      </c>
      <c r="G424" s="42">
        <f t="shared" ca="1" si="36"/>
        <v>1496.3912696581037</v>
      </c>
      <c r="H424" s="42">
        <f t="shared" ca="1" si="37"/>
        <v>1468.3912696581037</v>
      </c>
      <c r="I424" s="42">
        <f t="shared" ca="1" si="38"/>
        <v>0</v>
      </c>
    </row>
    <row r="425" spans="5:9" x14ac:dyDescent="0.25">
      <c r="E425">
        <f t="shared" si="39"/>
        <v>415</v>
      </c>
      <c r="F425" s="39">
        <f t="shared" ca="1" si="35"/>
        <v>-67.947687954004692</v>
      </c>
      <c r="G425" s="42">
        <f t="shared" ca="1" si="36"/>
        <v>-1941.482950666136</v>
      </c>
      <c r="H425" s="42">
        <f t="shared" ca="1" si="37"/>
        <v>-1969.482950666136</v>
      </c>
      <c r="I425" s="42">
        <f t="shared" ca="1" si="38"/>
        <v>0</v>
      </c>
    </row>
    <row r="426" spans="5:9" x14ac:dyDescent="0.25">
      <c r="E426">
        <f t="shared" si="39"/>
        <v>416</v>
      </c>
      <c r="F426" s="39">
        <f t="shared" ca="1" si="35"/>
        <v>32.816178421193847</v>
      </c>
      <c r="G426" s="42">
        <f t="shared" ca="1" si="36"/>
        <v>980.66917421462153</v>
      </c>
      <c r="H426" s="42">
        <f t="shared" ca="1" si="37"/>
        <v>952.66917421462153</v>
      </c>
      <c r="I426" s="42">
        <f t="shared" ca="1" si="38"/>
        <v>0</v>
      </c>
    </row>
    <row r="427" spans="5:9" x14ac:dyDescent="0.25">
      <c r="E427">
        <f t="shared" si="39"/>
        <v>417</v>
      </c>
      <c r="F427" s="39">
        <f t="shared" ca="1" si="35"/>
        <v>40.738118323408777</v>
      </c>
      <c r="G427" s="42">
        <f t="shared" ca="1" si="36"/>
        <v>1210.4054313788545</v>
      </c>
      <c r="H427" s="42">
        <f t="shared" ca="1" si="37"/>
        <v>1182.4054313788545</v>
      </c>
      <c r="I427" s="42">
        <f t="shared" ca="1" si="38"/>
        <v>0</v>
      </c>
    </row>
    <row r="428" spans="5:9" x14ac:dyDescent="0.25">
      <c r="E428">
        <f t="shared" si="39"/>
        <v>418</v>
      </c>
      <c r="F428" s="39">
        <f t="shared" ca="1" si="35"/>
        <v>-18.944744822124562</v>
      </c>
      <c r="G428" s="42">
        <f t="shared" ca="1" si="36"/>
        <v>-520.3975998416123</v>
      </c>
      <c r="H428" s="42">
        <f t="shared" ca="1" si="37"/>
        <v>-548.3975998416123</v>
      </c>
      <c r="I428" s="42">
        <f t="shared" ca="1" si="38"/>
        <v>0</v>
      </c>
    </row>
    <row r="429" spans="5:9" x14ac:dyDescent="0.25">
      <c r="E429">
        <f t="shared" si="39"/>
        <v>419</v>
      </c>
      <c r="F429" s="39">
        <f t="shared" ca="1" si="35"/>
        <v>82.791726939656201</v>
      </c>
      <c r="G429" s="42">
        <f t="shared" ca="1" si="36"/>
        <v>2429.9600812500298</v>
      </c>
      <c r="H429" s="42">
        <f t="shared" ca="1" si="37"/>
        <v>2401.9600812500298</v>
      </c>
      <c r="I429" s="42">
        <f t="shared" ca="1" si="38"/>
        <v>0</v>
      </c>
    </row>
    <row r="430" spans="5:9" x14ac:dyDescent="0.25">
      <c r="E430">
        <f t="shared" si="39"/>
        <v>420</v>
      </c>
      <c r="F430" s="39">
        <f t="shared" ca="1" si="35"/>
        <v>48.1830235909405</v>
      </c>
      <c r="G430" s="42">
        <f t="shared" ca="1" si="36"/>
        <v>1426.3076841372745</v>
      </c>
      <c r="H430" s="42">
        <f t="shared" ca="1" si="37"/>
        <v>1398.3076841372745</v>
      </c>
      <c r="I430" s="42">
        <f t="shared" ca="1" si="38"/>
        <v>0</v>
      </c>
    </row>
    <row r="431" spans="5:9" x14ac:dyDescent="0.25">
      <c r="E431">
        <f t="shared" si="39"/>
        <v>421</v>
      </c>
      <c r="F431" s="39">
        <f t="shared" ca="1" si="35"/>
        <v>62.511542573003169</v>
      </c>
      <c r="G431" s="42">
        <f t="shared" ca="1" si="36"/>
        <v>1841.834734617092</v>
      </c>
      <c r="H431" s="42">
        <f t="shared" ca="1" si="37"/>
        <v>1813.834734617092</v>
      </c>
      <c r="I431" s="42">
        <f t="shared" ca="1" si="38"/>
        <v>0</v>
      </c>
    </row>
    <row r="432" spans="5:9" x14ac:dyDescent="0.25">
      <c r="E432">
        <f t="shared" si="39"/>
        <v>422</v>
      </c>
      <c r="F432" s="39">
        <f t="shared" ca="1" si="35"/>
        <v>46.017279410364615</v>
      </c>
      <c r="G432" s="42">
        <f t="shared" ca="1" si="36"/>
        <v>1363.5011029005739</v>
      </c>
      <c r="H432" s="42">
        <f t="shared" ca="1" si="37"/>
        <v>1335.5011029005739</v>
      </c>
      <c r="I432" s="42">
        <f t="shared" ca="1" si="38"/>
        <v>0</v>
      </c>
    </row>
    <row r="433" spans="5:9" x14ac:dyDescent="0.25">
      <c r="E433">
        <f t="shared" si="39"/>
        <v>423</v>
      </c>
      <c r="F433" s="39">
        <f t="shared" ca="1" si="35"/>
        <v>46.707247735891094</v>
      </c>
      <c r="G433" s="42">
        <f t="shared" ca="1" si="36"/>
        <v>1383.5101843408418</v>
      </c>
      <c r="H433" s="42">
        <f t="shared" ca="1" si="37"/>
        <v>1355.5101843408418</v>
      </c>
      <c r="I433" s="42">
        <f t="shared" ca="1" si="38"/>
        <v>0</v>
      </c>
    </row>
    <row r="434" spans="5:9" x14ac:dyDescent="0.25">
      <c r="E434">
        <f t="shared" si="39"/>
        <v>424</v>
      </c>
      <c r="F434" s="39">
        <f t="shared" ca="1" si="35"/>
        <v>17.557294877536822</v>
      </c>
      <c r="G434" s="42">
        <f t="shared" ca="1" si="36"/>
        <v>538.16155144856782</v>
      </c>
      <c r="H434" s="42">
        <f t="shared" ca="1" si="37"/>
        <v>510.16155144856782</v>
      </c>
      <c r="I434" s="42">
        <f t="shared" ca="1" si="38"/>
        <v>0</v>
      </c>
    </row>
    <row r="435" spans="5:9" x14ac:dyDescent="0.25">
      <c r="E435">
        <f t="shared" si="39"/>
        <v>425</v>
      </c>
      <c r="F435" s="39">
        <f t="shared" ca="1" si="35"/>
        <v>37.809782399175958</v>
      </c>
      <c r="G435" s="42">
        <f t="shared" ca="1" si="36"/>
        <v>1125.4836895761027</v>
      </c>
      <c r="H435" s="42">
        <f t="shared" ca="1" si="37"/>
        <v>1097.4836895761027</v>
      </c>
      <c r="I435" s="42">
        <f t="shared" ca="1" si="38"/>
        <v>0</v>
      </c>
    </row>
    <row r="436" spans="5:9" x14ac:dyDescent="0.25">
      <c r="E436">
        <f t="shared" si="39"/>
        <v>426</v>
      </c>
      <c r="F436" s="39">
        <f t="shared" ca="1" si="35"/>
        <v>53.23076358065196</v>
      </c>
      <c r="G436" s="42">
        <f t="shared" ca="1" si="36"/>
        <v>1572.6921438389068</v>
      </c>
      <c r="H436" s="42">
        <f t="shared" ca="1" si="37"/>
        <v>1544.6921438389068</v>
      </c>
      <c r="I436" s="42">
        <f t="shared" ca="1" si="38"/>
        <v>0</v>
      </c>
    </row>
    <row r="437" spans="5:9" x14ac:dyDescent="0.25">
      <c r="E437">
        <f t="shared" si="39"/>
        <v>427</v>
      </c>
      <c r="F437" s="39">
        <f t="shared" ca="1" si="35"/>
        <v>-39.915755650935736</v>
      </c>
      <c r="G437" s="42">
        <f t="shared" ca="1" si="36"/>
        <v>-1128.5569138771364</v>
      </c>
      <c r="H437" s="42">
        <f t="shared" ca="1" si="37"/>
        <v>-1156.5569138771364</v>
      </c>
      <c r="I437" s="42">
        <f t="shared" ca="1" si="38"/>
        <v>0</v>
      </c>
    </row>
    <row r="438" spans="5:9" x14ac:dyDescent="0.25">
      <c r="E438">
        <f t="shared" si="39"/>
        <v>428</v>
      </c>
      <c r="F438" s="39">
        <f t="shared" ca="1" si="35"/>
        <v>20.680322566536717</v>
      </c>
      <c r="G438" s="42">
        <f t="shared" ca="1" si="36"/>
        <v>628.72935442956475</v>
      </c>
      <c r="H438" s="42">
        <f t="shared" ca="1" si="37"/>
        <v>600.72935442956475</v>
      </c>
      <c r="I438" s="42">
        <f t="shared" ca="1" si="38"/>
        <v>0</v>
      </c>
    </row>
    <row r="439" spans="5:9" x14ac:dyDescent="0.25">
      <c r="E439">
        <f t="shared" si="39"/>
        <v>429</v>
      </c>
      <c r="F439" s="39">
        <f t="shared" ca="1" si="35"/>
        <v>-10.20251494145414</v>
      </c>
      <c r="G439" s="42">
        <f t="shared" ca="1" si="36"/>
        <v>-266.87293330217005</v>
      </c>
      <c r="H439" s="42">
        <f t="shared" ca="1" si="37"/>
        <v>-294.87293330217005</v>
      </c>
      <c r="I439" s="42">
        <f t="shared" ca="1" si="38"/>
        <v>0</v>
      </c>
    </row>
    <row r="440" spans="5:9" x14ac:dyDescent="0.25">
      <c r="E440">
        <f t="shared" si="39"/>
        <v>430</v>
      </c>
      <c r="F440" s="39">
        <f t="shared" ca="1" si="35"/>
        <v>34.283963735187264</v>
      </c>
      <c r="G440" s="42">
        <f t="shared" ca="1" si="36"/>
        <v>1023.2349483204307</v>
      </c>
      <c r="H440" s="42">
        <f t="shared" ca="1" si="37"/>
        <v>995.2349483204307</v>
      </c>
      <c r="I440" s="42">
        <f t="shared" ca="1" si="38"/>
        <v>0</v>
      </c>
    </row>
    <row r="441" spans="5:9" x14ac:dyDescent="0.25">
      <c r="E441">
        <f t="shared" si="39"/>
        <v>431</v>
      </c>
      <c r="F441" s="39">
        <f t="shared" ca="1" si="35"/>
        <v>77.117061649282874</v>
      </c>
      <c r="G441" s="42">
        <f t="shared" ca="1" si="36"/>
        <v>2265.3947878292033</v>
      </c>
      <c r="H441" s="42">
        <f t="shared" ca="1" si="37"/>
        <v>2237.3947878292033</v>
      </c>
      <c r="I441" s="42">
        <f t="shared" ca="1" si="38"/>
        <v>0</v>
      </c>
    </row>
    <row r="442" spans="5:9" x14ac:dyDescent="0.25">
      <c r="E442">
        <f t="shared" si="39"/>
        <v>432</v>
      </c>
      <c r="F442" s="39">
        <f t="shared" ca="1" si="35"/>
        <v>28.385181000069757</v>
      </c>
      <c r="G442" s="42">
        <f t="shared" ca="1" si="36"/>
        <v>852.17024900202296</v>
      </c>
      <c r="H442" s="42">
        <f t="shared" ca="1" si="37"/>
        <v>824.17024900202296</v>
      </c>
      <c r="I442" s="42">
        <f t="shared" ca="1" si="38"/>
        <v>0</v>
      </c>
    </row>
    <row r="443" spans="5:9" x14ac:dyDescent="0.25">
      <c r="E443">
        <f t="shared" si="39"/>
        <v>433</v>
      </c>
      <c r="F443" s="39">
        <f t="shared" ca="1" si="35"/>
        <v>80.199128040716261</v>
      </c>
      <c r="G443" s="42">
        <f t="shared" ca="1" si="36"/>
        <v>2354.7747131807714</v>
      </c>
      <c r="H443" s="42">
        <f t="shared" ca="1" si="37"/>
        <v>2326.7747131807714</v>
      </c>
      <c r="I443" s="42">
        <f t="shared" ca="1" si="38"/>
        <v>0</v>
      </c>
    </row>
    <row r="444" spans="5:9" x14ac:dyDescent="0.25">
      <c r="E444">
        <f t="shared" si="39"/>
        <v>434</v>
      </c>
      <c r="F444" s="39">
        <f t="shared" ca="1" si="35"/>
        <v>3.8922309264117985</v>
      </c>
      <c r="G444" s="42">
        <f t="shared" ca="1" si="36"/>
        <v>141.87469686594216</v>
      </c>
      <c r="H444" s="42">
        <f t="shared" ca="1" si="37"/>
        <v>113.87469686594216</v>
      </c>
      <c r="I444" s="42">
        <f t="shared" ca="1" si="38"/>
        <v>0</v>
      </c>
    </row>
    <row r="445" spans="5:9" x14ac:dyDescent="0.25">
      <c r="E445">
        <f t="shared" si="39"/>
        <v>435</v>
      </c>
      <c r="F445" s="39">
        <f t="shared" ca="1" si="35"/>
        <v>8.0909499489864061</v>
      </c>
      <c r="G445" s="42">
        <f t="shared" ca="1" si="36"/>
        <v>263.63754852060578</v>
      </c>
      <c r="H445" s="42">
        <f t="shared" ca="1" si="37"/>
        <v>235.63754852060578</v>
      </c>
      <c r="I445" s="42">
        <f t="shared" ca="1" si="38"/>
        <v>0</v>
      </c>
    </row>
    <row r="446" spans="5:9" x14ac:dyDescent="0.25">
      <c r="E446">
        <f t="shared" si="39"/>
        <v>436</v>
      </c>
      <c r="F446" s="39">
        <f t="shared" ca="1" si="35"/>
        <v>-36.158780054679909</v>
      </c>
      <c r="G446" s="42">
        <f t="shared" ca="1" si="36"/>
        <v>-1019.6046215857174</v>
      </c>
      <c r="H446" s="42">
        <f t="shared" ca="1" si="37"/>
        <v>-1047.6046215857173</v>
      </c>
      <c r="I446" s="42">
        <f t="shared" ca="1" si="38"/>
        <v>0</v>
      </c>
    </row>
    <row r="447" spans="5:9" x14ac:dyDescent="0.25">
      <c r="E447">
        <f t="shared" si="39"/>
        <v>437</v>
      </c>
      <c r="F447" s="39">
        <f t="shared" ca="1" si="35"/>
        <v>31.041393717516176</v>
      </c>
      <c r="G447" s="42">
        <f t="shared" ca="1" si="36"/>
        <v>929.20041780796896</v>
      </c>
      <c r="H447" s="42">
        <f t="shared" ca="1" si="37"/>
        <v>901.20041780796896</v>
      </c>
      <c r="I447" s="42">
        <f t="shared" ca="1" si="38"/>
        <v>0</v>
      </c>
    </row>
    <row r="448" spans="5:9" x14ac:dyDescent="0.25">
      <c r="E448">
        <f t="shared" si="39"/>
        <v>438</v>
      </c>
      <c r="F448" s="39">
        <f t="shared" ca="1" si="35"/>
        <v>68.460551279708085</v>
      </c>
      <c r="G448" s="42">
        <f t="shared" ca="1" si="36"/>
        <v>2014.3559871115344</v>
      </c>
      <c r="H448" s="42">
        <f t="shared" ca="1" si="37"/>
        <v>1986.3559871115344</v>
      </c>
      <c r="I448" s="42">
        <f t="shared" ca="1" si="38"/>
        <v>0</v>
      </c>
    </row>
    <row r="449" spans="5:9" x14ac:dyDescent="0.25">
      <c r="E449">
        <f t="shared" si="39"/>
        <v>439</v>
      </c>
      <c r="F449" s="39">
        <f t="shared" ca="1" si="35"/>
        <v>7.984832627613379</v>
      </c>
      <c r="G449" s="42">
        <f t="shared" ca="1" si="36"/>
        <v>260.56014620078798</v>
      </c>
      <c r="H449" s="42">
        <f t="shared" ca="1" si="37"/>
        <v>232.56014620078798</v>
      </c>
      <c r="I449" s="42">
        <f t="shared" ca="1" si="38"/>
        <v>0</v>
      </c>
    </row>
    <row r="450" spans="5:9" x14ac:dyDescent="0.25">
      <c r="E450">
        <f t="shared" si="39"/>
        <v>440</v>
      </c>
      <c r="F450" s="39">
        <f t="shared" ca="1" si="35"/>
        <v>41.135602339708178</v>
      </c>
      <c r="G450" s="42">
        <f t="shared" ca="1" si="36"/>
        <v>1221.9324678515372</v>
      </c>
      <c r="H450" s="42">
        <f t="shared" ca="1" si="37"/>
        <v>1193.9324678515372</v>
      </c>
      <c r="I450" s="42">
        <f t="shared" ca="1" si="38"/>
        <v>0</v>
      </c>
    </row>
    <row r="451" spans="5:9" x14ac:dyDescent="0.25">
      <c r="E451">
        <f t="shared" si="39"/>
        <v>441</v>
      </c>
      <c r="F451" s="39">
        <f t="shared" ca="1" si="35"/>
        <v>50.991859670906287</v>
      </c>
      <c r="G451" s="42">
        <f t="shared" ca="1" si="36"/>
        <v>1507.7639304562824</v>
      </c>
      <c r="H451" s="42">
        <f t="shared" ca="1" si="37"/>
        <v>1479.7639304562824</v>
      </c>
      <c r="I451" s="42">
        <f t="shared" ca="1" si="38"/>
        <v>0</v>
      </c>
    </row>
    <row r="452" spans="5:9" x14ac:dyDescent="0.25">
      <c r="E452">
        <f t="shared" si="39"/>
        <v>442</v>
      </c>
      <c r="F452" s="39">
        <f t="shared" ca="1" si="35"/>
        <v>12.545305888428633</v>
      </c>
      <c r="G452" s="42">
        <f t="shared" ca="1" si="36"/>
        <v>392.81387076443036</v>
      </c>
      <c r="H452" s="42">
        <f t="shared" ca="1" si="37"/>
        <v>364.81387076443036</v>
      </c>
      <c r="I452" s="42">
        <f t="shared" ca="1" si="38"/>
        <v>0</v>
      </c>
    </row>
    <row r="453" spans="5:9" x14ac:dyDescent="0.25">
      <c r="E453">
        <f t="shared" si="39"/>
        <v>443</v>
      </c>
      <c r="F453" s="39">
        <f t="shared" ca="1" si="35"/>
        <v>82.363286352188481</v>
      </c>
      <c r="G453" s="42">
        <f t="shared" ca="1" si="36"/>
        <v>2417.5353042134661</v>
      </c>
      <c r="H453" s="42">
        <f t="shared" ca="1" si="37"/>
        <v>2389.5353042134661</v>
      </c>
      <c r="I453" s="42">
        <f t="shared" ca="1" si="38"/>
        <v>0</v>
      </c>
    </row>
    <row r="454" spans="5:9" x14ac:dyDescent="0.25">
      <c r="E454">
        <f t="shared" si="39"/>
        <v>444</v>
      </c>
      <c r="F454" s="39">
        <f t="shared" ca="1" si="35"/>
        <v>20.919739612968193</v>
      </c>
      <c r="G454" s="42">
        <f t="shared" ca="1" si="36"/>
        <v>635.67244877607766</v>
      </c>
      <c r="H454" s="42">
        <f t="shared" ca="1" si="37"/>
        <v>607.67244877607766</v>
      </c>
      <c r="I454" s="42">
        <f t="shared" ca="1" si="38"/>
        <v>0</v>
      </c>
    </row>
    <row r="455" spans="5:9" x14ac:dyDescent="0.25">
      <c r="E455">
        <f t="shared" si="39"/>
        <v>445</v>
      </c>
      <c r="F455" s="39">
        <f t="shared" ca="1" si="35"/>
        <v>28.387963544707048</v>
      </c>
      <c r="G455" s="42">
        <f t="shared" ca="1" si="36"/>
        <v>852.25094279650443</v>
      </c>
      <c r="H455" s="42">
        <f t="shared" ca="1" si="37"/>
        <v>824.25094279650443</v>
      </c>
      <c r="I455" s="42">
        <f t="shared" ca="1" si="38"/>
        <v>0</v>
      </c>
    </row>
    <row r="456" spans="5:9" x14ac:dyDescent="0.25">
      <c r="E456">
        <f t="shared" si="39"/>
        <v>446</v>
      </c>
      <c r="F456" s="39">
        <f t="shared" ca="1" si="35"/>
        <v>95.783544781621345</v>
      </c>
      <c r="G456" s="42">
        <f t="shared" ca="1" si="36"/>
        <v>2806.7227986670191</v>
      </c>
      <c r="H456" s="42">
        <f t="shared" ca="1" si="37"/>
        <v>2778.7227986670191</v>
      </c>
      <c r="I456" s="42">
        <f t="shared" ca="1" si="38"/>
        <v>0</v>
      </c>
    </row>
    <row r="457" spans="5:9" x14ac:dyDescent="0.25">
      <c r="E457">
        <f t="shared" si="39"/>
        <v>447</v>
      </c>
      <c r="F457" s="39">
        <f t="shared" ca="1" si="35"/>
        <v>14.178488717593769</v>
      </c>
      <c r="G457" s="42">
        <f t="shared" ca="1" si="36"/>
        <v>440.17617281021933</v>
      </c>
      <c r="H457" s="42">
        <f t="shared" ca="1" si="37"/>
        <v>412.17617281021933</v>
      </c>
      <c r="I457" s="42">
        <f t="shared" ca="1" si="38"/>
        <v>0</v>
      </c>
    </row>
    <row r="458" spans="5:9" x14ac:dyDescent="0.25">
      <c r="E458">
        <f t="shared" si="39"/>
        <v>448</v>
      </c>
      <c r="F458" s="39">
        <f t="shared" ca="1" si="35"/>
        <v>17.668513746796503</v>
      </c>
      <c r="G458" s="42">
        <f t="shared" ca="1" si="36"/>
        <v>541.38689865709853</v>
      </c>
      <c r="H458" s="42">
        <f t="shared" ca="1" si="37"/>
        <v>513.38689865709853</v>
      </c>
      <c r="I458" s="42">
        <f t="shared" ca="1" si="38"/>
        <v>0</v>
      </c>
    </row>
    <row r="459" spans="5:9" x14ac:dyDescent="0.25">
      <c r="E459">
        <f t="shared" si="39"/>
        <v>449</v>
      </c>
      <c r="F459" s="39">
        <f t="shared" ca="1" si="35"/>
        <v>109.04015099542319</v>
      </c>
      <c r="G459" s="42">
        <f t="shared" ca="1" si="36"/>
        <v>3191.1643788672727</v>
      </c>
      <c r="H459" s="42">
        <f t="shared" ca="1" si="37"/>
        <v>3163.1643788672727</v>
      </c>
      <c r="I459" s="42">
        <f t="shared" ca="1" si="38"/>
        <v>0</v>
      </c>
    </row>
    <row r="460" spans="5:9" x14ac:dyDescent="0.25">
      <c r="E460">
        <f t="shared" si="39"/>
        <v>450</v>
      </c>
      <c r="F460" s="39">
        <f t="shared" ref="F460:F523" ca="1" si="40">_xlfn.NORM.INV(RAND(),$E$45,$E$46)</f>
        <v>45.507547897364105</v>
      </c>
      <c r="G460" s="42">
        <f t="shared" ref="G460:G523" ca="1" si="41">$E$39*(1+F460)</f>
        <v>1348.7188890235591</v>
      </c>
      <c r="H460" s="42">
        <f t="shared" ref="H460:H523" ca="1" si="42">MAX(G460-$E$38)</f>
        <v>1320.7188890235591</v>
      </c>
      <c r="I460" s="42">
        <f t="shared" ref="I460:I523" ca="1" si="43">MAX($E$38-$H$43,0)</f>
        <v>0</v>
      </c>
    </row>
    <row r="461" spans="5:9" x14ac:dyDescent="0.25">
      <c r="E461">
        <f t="shared" ref="E461:E524" si="44">E460+1</f>
        <v>451</v>
      </c>
      <c r="F461" s="39">
        <f t="shared" ca="1" si="40"/>
        <v>54.185206022580005</v>
      </c>
      <c r="G461" s="42">
        <f t="shared" ca="1" si="41"/>
        <v>1600.3709746548202</v>
      </c>
      <c r="H461" s="42">
        <f t="shared" ca="1" si="42"/>
        <v>1572.3709746548202</v>
      </c>
      <c r="I461" s="42">
        <f t="shared" ca="1" si="43"/>
        <v>0</v>
      </c>
    </row>
    <row r="462" spans="5:9" x14ac:dyDescent="0.25">
      <c r="E462">
        <f t="shared" si="44"/>
        <v>452</v>
      </c>
      <c r="F462" s="39">
        <f t="shared" ca="1" si="40"/>
        <v>87.348584023965245</v>
      </c>
      <c r="G462" s="42">
        <f t="shared" ca="1" si="41"/>
        <v>2562.1089366949923</v>
      </c>
      <c r="H462" s="42">
        <f t="shared" ca="1" si="42"/>
        <v>2534.1089366949923</v>
      </c>
      <c r="I462" s="42">
        <f t="shared" ca="1" si="43"/>
        <v>0</v>
      </c>
    </row>
    <row r="463" spans="5:9" x14ac:dyDescent="0.25">
      <c r="E463">
        <f t="shared" si="44"/>
        <v>453</v>
      </c>
      <c r="F463" s="39">
        <f t="shared" ca="1" si="40"/>
        <v>98.194205504843893</v>
      </c>
      <c r="G463" s="42">
        <f t="shared" ca="1" si="41"/>
        <v>2876.6319596404728</v>
      </c>
      <c r="H463" s="42">
        <f t="shared" ca="1" si="42"/>
        <v>2848.6319596404728</v>
      </c>
      <c r="I463" s="42">
        <f t="shared" ca="1" si="43"/>
        <v>0</v>
      </c>
    </row>
    <row r="464" spans="5:9" x14ac:dyDescent="0.25">
      <c r="E464">
        <f t="shared" si="44"/>
        <v>454</v>
      </c>
      <c r="F464" s="39">
        <f t="shared" ca="1" si="40"/>
        <v>49.988163277385929</v>
      </c>
      <c r="G464" s="42">
        <f t="shared" ca="1" si="41"/>
        <v>1478.6567350441919</v>
      </c>
      <c r="H464" s="42">
        <f t="shared" ca="1" si="42"/>
        <v>1450.6567350441919</v>
      </c>
      <c r="I464" s="42">
        <f t="shared" ca="1" si="43"/>
        <v>0</v>
      </c>
    </row>
    <row r="465" spans="5:9" x14ac:dyDescent="0.25">
      <c r="E465">
        <f t="shared" si="44"/>
        <v>455</v>
      </c>
      <c r="F465" s="39">
        <f t="shared" ca="1" si="40"/>
        <v>33.478925133495004</v>
      </c>
      <c r="G465" s="42">
        <f t="shared" ca="1" si="41"/>
        <v>999.88882887135514</v>
      </c>
      <c r="H465" s="42">
        <f t="shared" ca="1" si="42"/>
        <v>971.88882887135514</v>
      </c>
      <c r="I465" s="42">
        <f t="shared" ca="1" si="43"/>
        <v>0</v>
      </c>
    </row>
    <row r="466" spans="5:9" x14ac:dyDescent="0.25">
      <c r="E466">
        <f t="shared" si="44"/>
        <v>456</v>
      </c>
      <c r="F466" s="39">
        <f t="shared" ca="1" si="40"/>
        <v>65.18049196224824</v>
      </c>
      <c r="G466" s="42">
        <f t="shared" ca="1" si="41"/>
        <v>1919.2342669051989</v>
      </c>
      <c r="H466" s="42">
        <f t="shared" ca="1" si="42"/>
        <v>1891.2342669051989</v>
      </c>
      <c r="I466" s="42">
        <f t="shared" ca="1" si="43"/>
        <v>0</v>
      </c>
    </row>
    <row r="467" spans="5:9" x14ac:dyDescent="0.25">
      <c r="E467">
        <f t="shared" si="44"/>
        <v>457</v>
      </c>
      <c r="F467" s="39">
        <f t="shared" ca="1" si="40"/>
        <v>-29.164625710098065</v>
      </c>
      <c r="G467" s="42">
        <f t="shared" ca="1" si="41"/>
        <v>-816.77414559284387</v>
      </c>
      <c r="H467" s="42">
        <f t="shared" ca="1" si="42"/>
        <v>-844.77414559284387</v>
      </c>
      <c r="I467" s="42">
        <f t="shared" ca="1" si="43"/>
        <v>0</v>
      </c>
    </row>
    <row r="468" spans="5:9" x14ac:dyDescent="0.25">
      <c r="E468">
        <f t="shared" si="44"/>
        <v>458</v>
      </c>
      <c r="F468" s="39">
        <f t="shared" ca="1" si="40"/>
        <v>-7.9843604104006545</v>
      </c>
      <c r="G468" s="42">
        <f t="shared" ca="1" si="41"/>
        <v>-202.54645190161898</v>
      </c>
      <c r="H468" s="42">
        <f t="shared" ca="1" si="42"/>
        <v>-230.54645190161898</v>
      </c>
      <c r="I468" s="42">
        <f t="shared" ca="1" si="43"/>
        <v>0</v>
      </c>
    </row>
    <row r="469" spans="5:9" x14ac:dyDescent="0.25">
      <c r="E469">
        <f t="shared" si="44"/>
        <v>459</v>
      </c>
      <c r="F469" s="39">
        <f t="shared" ca="1" si="40"/>
        <v>61.970270745138428</v>
      </c>
      <c r="G469" s="42">
        <f t="shared" ca="1" si="41"/>
        <v>1826.1378516090144</v>
      </c>
      <c r="H469" s="42">
        <f t="shared" ca="1" si="42"/>
        <v>1798.1378516090144</v>
      </c>
      <c r="I469" s="42">
        <f t="shared" ca="1" si="43"/>
        <v>0</v>
      </c>
    </row>
    <row r="470" spans="5:9" x14ac:dyDescent="0.25">
      <c r="E470">
        <f t="shared" si="44"/>
        <v>460</v>
      </c>
      <c r="F470" s="39">
        <f t="shared" ca="1" si="40"/>
        <v>37.386512517548873</v>
      </c>
      <c r="G470" s="42">
        <f t="shared" ca="1" si="41"/>
        <v>1113.2088630089172</v>
      </c>
      <c r="H470" s="42">
        <f t="shared" ca="1" si="42"/>
        <v>1085.2088630089172</v>
      </c>
      <c r="I470" s="42">
        <f t="shared" ca="1" si="43"/>
        <v>0</v>
      </c>
    </row>
    <row r="471" spans="5:9" x14ac:dyDescent="0.25">
      <c r="E471">
        <f t="shared" si="44"/>
        <v>461</v>
      </c>
      <c r="F471" s="39">
        <f t="shared" ca="1" si="40"/>
        <v>29.201567849698865</v>
      </c>
      <c r="G471" s="42">
        <f t="shared" ca="1" si="41"/>
        <v>875.84546764126708</v>
      </c>
      <c r="H471" s="42">
        <f t="shared" ca="1" si="42"/>
        <v>847.84546764126708</v>
      </c>
      <c r="I471" s="42">
        <f t="shared" ca="1" si="43"/>
        <v>0</v>
      </c>
    </row>
    <row r="472" spans="5:9" x14ac:dyDescent="0.25">
      <c r="E472">
        <f t="shared" si="44"/>
        <v>462</v>
      </c>
      <c r="F472" s="39">
        <f t="shared" ca="1" si="40"/>
        <v>56.445608751709351</v>
      </c>
      <c r="G472" s="42">
        <f t="shared" ca="1" si="41"/>
        <v>1665.9226537995712</v>
      </c>
      <c r="H472" s="42">
        <f t="shared" ca="1" si="42"/>
        <v>1637.9226537995712</v>
      </c>
      <c r="I472" s="42">
        <f t="shared" ca="1" si="43"/>
        <v>0</v>
      </c>
    </row>
    <row r="473" spans="5:9" x14ac:dyDescent="0.25">
      <c r="E473">
        <f t="shared" si="44"/>
        <v>463</v>
      </c>
      <c r="F473" s="39">
        <f t="shared" ca="1" si="40"/>
        <v>54.347634991712752</v>
      </c>
      <c r="G473" s="42">
        <f t="shared" ca="1" si="41"/>
        <v>1605.0814147596698</v>
      </c>
      <c r="H473" s="42">
        <f t="shared" ca="1" si="42"/>
        <v>1577.0814147596698</v>
      </c>
      <c r="I473" s="42">
        <f t="shared" ca="1" si="43"/>
        <v>0</v>
      </c>
    </row>
    <row r="474" spans="5:9" x14ac:dyDescent="0.25">
      <c r="E474">
        <f t="shared" si="44"/>
        <v>464</v>
      </c>
      <c r="F474" s="39">
        <f t="shared" ca="1" si="40"/>
        <v>110.52814138619389</v>
      </c>
      <c r="G474" s="42">
        <f t="shared" ca="1" si="41"/>
        <v>3234.3161001996227</v>
      </c>
      <c r="H474" s="42">
        <f t="shared" ca="1" si="42"/>
        <v>3206.3161001996227</v>
      </c>
      <c r="I474" s="42">
        <f t="shared" ca="1" si="43"/>
        <v>0</v>
      </c>
    </row>
    <row r="475" spans="5:9" x14ac:dyDescent="0.25">
      <c r="E475">
        <f t="shared" si="44"/>
        <v>465</v>
      </c>
      <c r="F475" s="39">
        <f t="shared" ca="1" si="40"/>
        <v>126.36851395584823</v>
      </c>
      <c r="G475" s="42">
        <f t="shared" ca="1" si="41"/>
        <v>3693.6869047195987</v>
      </c>
      <c r="H475" s="42">
        <f t="shared" ca="1" si="42"/>
        <v>3665.6869047195987</v>
      </c>
      <c r="I475" s="42">
        <f t="shared" ca="1" si="43"/>
        <v>0</v>
      </c>
    </row>
    <row r="476" spans="5:9" x14ac:dyDescent="0.25">
      <c r="E476">
        <f t="shared" si="44"/>
        <v>466</v>
      </c>
      <c r="F476" s="39">
        <f t="shared" ca="1" si="40"/>
        <v>56.92244326250821</v>
      </c>
      <c r="G476" s="42">
        <f t="shared" ca="1" si="41"/>
        <v>1679.7508546127381</v>
      </c>
      <c r="H476" s="42">
        <f t="shared" ca="1" si="42"/>
        <v>1651.7508546127381</v>
      </c>
      <c r="I476" s="42">
        <f t="shared" ca="1" si="43"/>
        <v>0</v>
      </c>
    </row>
    <row r="477" spans="5:9" x14ac:dyDescent="0.25">
      <c r="E477">
        <f t="shared" si="44"/>
        <v>467</v>
      </c>
      <c r="F477" s="39">
        <f t="shared" ca="1" si="40"/>
        <v>54.83937721260591</v>
      </c>
      <c r="G477" s="42">
        <f t="shared" ca="1" si="41"/>
        <v>1619.3419391655714</v>
      </c>
      <c r="H477" s="42">
        <f t="shared" ca="1" si="42"/>
        <v>1591.3419391655714</v>
      </c>
      <c r="I477" s="42">
        <f t="shared" ca="1" si="43"/>
        <v>0</v>
      </c>
    </row>
    <row r="478" spans="5:9" x14ac:dyDescent="0.25">
      <c r="E478">
        <f t="shared" si="44"/>
        <v>468</v>
      </c>
      <c r="F478" s="39">
        <f t="shared" ca="1" si="40"/>
        <v>30.648039384662365</v>
      </c>
      <c r="G478" s="42">
        <f t="shared" ca="1" si="41"/>
        <v>917.79314215520856</v>
      </c>
      <c r="H478" s="42">
        <f t="shared" ca="1" si="42"/>
        <v>889.79314215520856</v>
      </c>
      <c r="I478" s="42">
        <f t="shared" ca="1" si="43"/>
        <v>0</v>
      </c>
    </row>
    <row r="479" spans="5:9" x14ac:dyDescent="0.25">
      <c r="E479">
        <f t="shared" si="44"/>
        <v>469</v>
      </c>
      <c r="F479" s="39">
        <f t="shared" ca="1" si="40"/>
        <v>124.81658457647048</v>
      </c>
      <c r="G479" s="42">
        <f t="shared" ca="1" si="41"/>
        <v>3648.6809527176438</v>
      </c>
      <c r="H479" s="42">
        <f t="shared" ca="1" si="42"/>
        <v>3620.6809527176438</v>
      </c>
      <c r="I479" s="42">
        <f t="shared" ca="1" si="43"/>
        <v>0</v>
      </c>
    </row>
    <row r="480" spans="5:9" x14ac:dyDescent="0.25">
      <c r="E480">
        <f t="shared" si="44"/>
        <v>470</v>
      </c>
      <c r="F480" s="39">
        <f t="shared" ca="1" si="40"/>
        <v>9.8074767611892604</v>
      </c>
      <c r="G480" s="42">
        <f t="shared" ca="1" si="41"/>
        <v>313.41682607448854</v>
      </c>
      <c r="H480" s="42">
        <f t="shared" ca="1" si="42"/>
        <v>285.41682607448854</v>
      </c>
      <c r="I480" s="42">
        <f t="shared" ca="1" si="43"/>
        <v>0</v>
      </c>
    </row>
    <row r="481" spans="5:9" x14ac:dyDescent="0.25">
      <c r="E481">
        <f t="shared" si="44"/>
        <v>471</v>
      </c>
      <c r="F481" s="39">
        <f t="shared" ca="1" si="40"/>
        <v>3.2816321704446594</v>
      </c>
      <c r="G481" s="42">
        <f t="shared" ca="1" si="41"/>
        <v>124.16733294289511</v>
      </c>
      <c r="H481" s="42">
        <f t="shared" ca="1" si="42"/>
        <v>96.167332942895115</v>
      </c>
      <c r="I481" s="42">
        <f t="shared" ca="1" si="43"/>
        <v>0</v>
      </c>
    </row>
    <row r="482" spans="5:9" x14ac:dyDescent="0.25">
      <c r="E482">
        <f t="shared" si="44"/>
        <v>472</v>
      </c>
      <c r="F482" s="39">
        <f t="shared" ca="1" si="40"/>
        <v>106.37850113832798</v>
      </c>
      <c r="G482" s="42">
        <f t="shared" ca="1" si="41"/>
        <v>3113.9765330115115</v>
      </c>
      <c r="H482" s="42">
        <f t="shared" ca="1" si="42"/>
        <v>3085.9765330115115</v>
      </c>
      <c r="I482" s="42">
        <f t="shared" ca="1" si="43"/>
        <v>0</v>
      </c>
    </row>
    <row r="483" spans="5:9" x14ac:dyDescent="0.25">
      <c r="E483">
        <f t="shared" si="44"/>
        <v>473</v>
      </c>
      <c r="F483" s="39">
        <f t="shared" ca="1" si="40"/>
        <v>59.508226656271106</v>
      </c>
      <c r="G483" s="42">
        <f t="shared" ca="1" si="41"/>
        <v>1754.738573031862</v>
      </c>
      <c r="H483" s="42">
        <f t="shared" ca="1" si="42"/>
        <v>1726.738573031862</v>
      </c>
      <c r="I483" s="42">
        <f t="shared" ca="1" si="43"/>
        <v>0</v>
      </c>
    </row>
    <row r="484" spans="5:9" x14ac:dyDescent="0.25">
      <c r="E484">
        <f t="shared" si="44"/>
        <v>474</v>
      </c>
      <c r="F484" s="39">
        <f t="shared" ca="1" si="40"/>
        <v>0.42265746738944898</v>
      </c>
      <c r="G484" s="42">
        <f t="shared" ca="1" si="41"/>
        <v>41.25706655429402</v>
      </c>
      <c r="H484" s="42">
        <f t="shared" ca="1" si="42"/>
        <v>13.25706655429402</v>
      </c>
      <c r="I484" s="42">
        <f t="shared" ca="1" si="43"/>
        <v>0</v>
      </c>
    </row>
    <row r="485" spans="5:9" x14ac:dyDescent="0.25">
      <c r="E485">
        <f t="shared" si="44"/>
        <v>475</v>
      </c>
      <c r="F485" s="39">
        <f t="shared" ca="1" si="40"/>
        <v>62.293687793549267</v>
      </c>
      <c r="G485" s="42">
        <f t="shared" ca="1" si="41"/>
        <v>1835.5169460129287</v>
      </c>
      <c r="H485" s="42">
        <f t="shared" ca="1" si="42"/>
        <v>1807.5169460129287</v>
      </c>
      <c r="I485" s="42">
        <f t="shared" ca="1" si="43"/>
        <v>0</v>
      </c>
    </row>
    <row r="486" spans="5:9" x14ac:dyDescent="0.25">
      <c r="E486">
        <f t="shared" si="44"/>
        <v>476</v>
      </c>
      <c r="F486" s="39">
        <f t="shared" ca="1" si="40"/>
        <v>23.859896322821051</v>
      </c>
      <c r="G486" s="42">
        <f t="shared" ca="1" si="41"/>
        <v>720.93699336181044</v>
      </c>
      <c r="H486" s="42">
        <f t="shared" ca="1" si="42"/>
        <v>692.93699336181044</v>
      </c>
      <c r="I486" s="42">
        <f t="shared" ca="1" si="43"/>
        <v>0</v>
      </c>
    </row>
    <row r="487" spans="5:9" x14ac:dyDescent="0.25">
      <c r="E487">
        <f t="shared" si="44"/>
        <v>477</v>
      </c>
      <c r="F487" s="39">
        <f t="shared" ca="1" si="40"/>
        <v>-29.138779328319316</v>
      </c>
      <c r="G487" s="42">
        <f t="shared" ca="1" si="41"/>
        <v>-816.02460052126014</v>
      </c>
      <c r="H487" s="42">
        <f t="shared" ca="1" si="42"/>
        <v>-844.02460052126014</v>
      </c>
      <c r="I487" s="42">
        <f t="shared" ca="1" si="43"/>
        <v>0</v>
      </c>
    </row>
    <row r="488" spans="5:9" x14ac:dyDescent="0.25">
      <c r="E488">
        <f t="shared" si="44"/>
        <v>478</v>
      </c>
      <c r="F488" s="39">
        <f t="shared" ca="1" si="40"/>
        <v>25.381854467830436</v>
      </c>
      <c r="G488" s="42">
        <f t="shared" ca="1" si="41"/>
        <v>765.07377956708262</v>
      </c>
      <c r="H488" s="42">
        <f t="shared" ca="1" si="42"/>
        <v>737.07377956708262</v>
      </c>
      <c r="I488" s="42">
        <f t="shared" ca="1" si="43"/>
        <v>0</v>
      </c>
    </row>
    <row r="489" spans="5:9" x14ac:dyDescent="0.25">
      <c r="E489">
        <f t="shared" si="44"/>
        <v>479</v>
      </c>
      <c r="F489" s="39">
        <f t="shared" ca="1" si="40"/>
        <v>76.796005255105314</v>
      </c>
      <c r="G489" s="42">
        <f t="shared" ca="1" si="41"/>
        <v>2256.0841523980539</v>
      </c>
      <c r="H489" s="42">
        <f t="shared" ca="1" si="42"/>
        <v>2228.0841523980539</v>
      </c>
      <c r="I489" s="42">
        <f t="shared" ca="1" si="43"/>
        <v>0</v>
      </c>
    </row>
    <row r="490" spans="5:9" x14ac:dyDescent="0.25">
      <c r="E490">
        <f t="shared" si="44"/>
        <v>480</v>
      </c>
      <c r="F490" s="39">
        <f t="shared" ca="1" si="40"/>
        <v>89.327897703717127</v>
      </c>
      <c r="G490" s="42">
        <f t="shared" ca="1" si="41"/>
        <v>2619.5090334077968</v>
      </c>
      <c r="H490" s="42">
        <f t="shared" ca="1" si="42"/>
        <v>2591.5090334077968</v>
      </c>
      <c r="I490" s="42">
        <f t="shared" ca="1" si="43"/>
        <v>0</v>
      </c>
    </row>
    <row r="491" spans="5:9" x14ac:dyDescent="0.25">
      <c r="E491">
        <f t="shared" si="44"/>
        <v>481</v>
      </c>
      <c r="F491" s="39">
        <f t="shared" ca="1" si="40"/>
        <v>43.881006929748793</v>
      </c>
      <c r="G491" s="42">
        <f t="shared" ca="1" si="41"/>
        <v>1301.5492009627151</v>
      </c>
      <c r="H491" s="42">
        <f t="shared" ca="1" si="42"/>
        <v>1273.5492009627151</v>
      </c>
      <c r="I491" s="42">
        <f t="shared" ca="1" si="43"/>
        <v>0</v>
      </c>
    </row>
    <row r="492" spans="5:9" x14ac:dyDescent="0.25">
      <c r="E492">
        <f t="shared" si="44"/>
        <v>482</v>
      </c>
      <c r="F492" s="39">
        <f t="shared" ca="1" si="40"/>
        <v>30.732412807808053</v>
      </c>
      <c r="G492" s="42">
        <f t="shared" ca="1" si="41"/>
        <v>920.2399714264335</v>
      </c>
      <c r="H492" s="42">
        <f t="shared" ca="1" si="42"/>
        <v>892.2399714264335</v>
      </c>
      <c r="I492" s="42">
        <f t="shared" ca="1" si="43"/>
        <v>0</v>
      </c>
    </row>
    <row r="493" spans="5:9" x14ac:dyDescent="0.25">
      <c r="E493">
        <f t="shared" si="44"/>
        <v>483</v>
      </c>
      <c r="F493" s="39">
        <f t="shared" ca="1" si="40"/>
        <v>22.702791979750341</v>
      </c>
      <c r="G493" s="42">
        <f t="shared" ca="1" si="41"/>
        <v>687.3809674127599</v>
      </c>
      <c r="H493" s="42">
        <f t="shared" ca="1" si="42"/>
        <v>659.3809674127599</v>
      </c>
      <c r="I493" s="42">
        <f t="shared" ca="1" si="43"/>
        <v>0</v>
      </c>
    </row>
    <row r="494" spans="5:9" x14ac:dyDescent="0.25">
      <c r="E494">
        <f t="shared" si="44"/>
        <v>484</v>
      </c>
      <c r="F494" s="39">
        <f t="shared" ca="1" si="40"/>
        <v>27.864622881203683</v>
      </c>
      <c r="G494" s="42">
        <f t="shared" ca="1" si="41"/>
        <v>837.07406355490684</v>
      </c>
      <c r="H494" s="42">
        <f t="shared" ca="1" si="42"/>
        <v>809.07406355490684</v>
      </c>
      <c r="I494" s="42">
        <f t="shared" ca="1" si="43"/>
        <v>0</v>
      </c>
    </row>
    <row r="495" spans="5:9" x14ac:dyDescent="0.25">
      <c r="E495">
        <f t="shared" si="44"/>
        <v>485</v>
      </c>
      <c r="F495" s="39">
        <f t="shared" ca="1" si="40"/>
        <v>19.01227472914762</v>
      </c>
      <c r="G495" s="42">
        <f t="shared" ca="1" si="41"/>
        <v>580.35596714528094</v>
      </c>
      <c r="H495" s="42">
        <f t="shared" ca="1" si="42"/>
        <v>552.35596714528094</v>
      </c>
      <c r="I495" s="42">
        <f t="shared" ca="1" si="43"/>
        <v>0</v>
      </c>
    </row>
    <row r="496" spans="5:9" x14ac:dyDescent="0.25">
      <c r="E496">
        <f t="shared" si="44"/>
        <v>486</v>
      </c>
      <c r="F496" s="39">
        <f t="shared" ca="1" si="40"/>
        <v>11.462791282202083</v>
      </c>
      <c r="G496" s="42">
        <f t="shared" ca="1" si="41"/>
        <v>361.42094718386039</v>
      </c>
      <c r="H496" s="42">
        <f t="shared" ca="1" si="42"/>
        <v>333.42094718386039</v>
      </c>
      <c r="I496" s="42">
        <f t="shared" ca="1" si="43"/>
        <v>0</v>
      </c>
    </row>
    <row r="497" spans="5:9" x14ac:dyDescent="0.25">
      <c r="E497">
        <f t="shared" si="44"/>
        <v>487</v>
      </c>
      <c r="F497" s="39">
        <f t="shared" ca="1" si="40"/>
        <v>32.924586864144374</v>
      </c>
      <c r="G497" s="42">
        <f t="shared" ca="1" si="41"/>
        <v>983.81301906018689</v>
      </c>
      <c r="H497" s="42">
        <f t="shared" ca="1" si="42"/>
        <v>955.81301906018689</v>
      </c>
      <c r="I497" s="42">
        <f t="shared" ca="1" si="43"/>
        <v>0</v>
      </c>
    </row>
    <row r="498" spans="5:9" x14ac:dyDescent="0.25">
      <c r="E498">
        <f t="shared" si="44"/>
        <v>488</v>
      </c>
      <c r="F498" s="39">
        <f t="shared" ca="1" si="40"/>
        <v>-48.723279935457526</v>
      </c>
      <c r="G498" s="42">
        <f t="shared" ca="1" si="41"/>
        <v>-1383.9751181282682</v>
      </c>
      <c r="H498" s="42">
        <f t="shared" ca="1" si="42"/>
        <v>-1411.9751181282682</v>
      </c>
      <c r="I498" s="42">
        <f t="shared" ca="1" si="43"/>
        <v>0</v>
      </c>
    </row>
    <row r="499" spans="5:9" x14ac:dyDescent="0.25">
      <c r="E499">
        <f t="shared" si="44"/>
        <v>489</v>
      </c>
      <c r="F499" s="39">
        <f t="shared" ca="1" si="40"/>
        <v>21.424583228429334</v>
      </c>
      <c r="G499" s="42">
        <f t="shared" ca="1" si="41"/>
        <v>650.31291362445074</v>
      </c>
      <c r="H499" s="42">
        <f t="shared" ca="1" si="42"/>
        <v>622.31291362445074</v>
      </c>
      <c r="I499" s="42">
        <f t="shared" ca="1" si="43"/>
        <v>0</v>
      </c>
    </row>
    <row r="500" spans="5:9" x14ac:dyDescent="0.25">
      <c r="E500">
        <f t="shared" si="44"/>
        <v>490</v>
      </c>
      <c r="F500" s="39">
        <f t="shared" ca="1" si="40"/>
        <v>45.790874342395199</v>
      </c>
      <c r="G500" s="42">
        <f t="shared" ca="1" si="41"/>
        <v>1356.9353559294607</v>
      </c>
      <c r="H500" s="42">
        <f t="shared" ca="1" si="42"/>
        <v>1328.9353559294607</v>
      </c>
      <c r="I500" s="42">
        <f t="shared" ca="1" si="43"/>
        <v>0</v>
      </c>
    </row>
    <row r="501" spans="5:9" x14ac:dyDescent="0.25">
      <c r="E501">
        <f t="shared" si="44"/>
        <v>491</v>
      </c>
      <c r="F501" s="39">
        <f t="shared" ca="1" si="40"/>
        <v>6.8606817886343521</v>
      </c>
      <c r="G501" s="42">
        <f t="shared" ca="1" si="41"/>
        <v>227.9597718703962</v>
      </c>
      <c r="H501" s="42">
        <f t="shared" ca="1" si="42"/>
        <v>199.9597718703962</v>
      </c>
      <c r="I501" s="42">
        <f t="shared" ca="1" si="43"/>
        <v>0</v>
      </c>
    </row>
    <row r="502" spans="5:9" x14ac:dyDescent="0.25">
      <c r="E502">
        <f t="shared" si="44"/>
        <v>492</v>
      </c>
      <c r="F502" s="39">
        <f t="shared" ca="1" si="40"/>
        <v>91.252799798732298</v>
      </c>
      <c r="G502" s="42">
        <f t="shared" ca="1" si="41"/>
        <v>2675.3311941632364</v>
      </c>
      <c r="H502" s="42">
        <f t="shared" ca="1" si="42"/>
        <v>2647.3311941632364</v>
      </c>
      <c r="I502" s="42">
        <f t="shared" ca="1" si="43"/>
        <v>0</v>
      </c>
    </row>
    <row r="503" spans="5:9" x14ac:dyDescent="0.25">
      <c r="E503">
        <f t="shared" si="44"/>
        <v>493</v>
      </c>
      <c r="F503" s="39">
        <f t="shared" ca="1" si="40"/>
        <v>66.291574213662216</v>
      </c>
      <c r="G503" s="42">
        <f t="shared" ca="1" si="41"/>
        <v>1951.4556521962043</v>
      </c>
      <c r="H503" s="42">
        <f t="shared" ca="1" si="42"/>
        <v>1923.4556521962043</v>
      </c>
      <c r="I503" s="42">
        <f t="shared" ca="1" si="43"/>
        <v>0</v>
      </c>
    </row>
    <row r="504" spans="5:9" x14ac:dyDescent="0.25">
      <c r="E504">
        <f t="shared" si="44"/>
        <v>494</v>
      </c>
      <c r="F504" s="39">
        <f t="shared" ca="1" si="40"/>
        <v>35.642519119202674</v>
      </c>
      <c r="G504" s="42">
        <f t="shared" ca="1" si="41"/>
        <v>1062.6330544568775</v>
      </c>
      <c r="H504" s="42">
        <f t="shared" ca="1" si="42"/>
        <v>1034.6330544568775</v>
      </c>
      <c r="I504" s="42">
        <f t="shared" ca="1" si="43"/>
        <v>0</v>
      </c>
    </row>
    <row r="505" spans="5:9" x14ac:dyDescent="0.25">
      <c r="E505">
        <f t="shared" si="44"/>
        <v>495</v>
      </c>
      <c r="F505" s="39">
        <f t="shared" ca="1" si="40"/>
        <v>86.170128391745834</v>
      </c>
      <c r="G505" s="42">
        <f t="shared" ca="1" si="41"/>
        <v>2527.9337233606293</v>
      </c>
      <c r="H505" s="42">
        <f t="shared" ca="1" si="42"/>
        <v>2499.9337233606293</v>
      </c>
      <c r="I505" s="42">
        <f t="shared" ca="1" si="43"/>
        <v>0</v>
      </c>
    </row>
    <row r="506" spans="5:9" x14ac:dyDescent="0.25">
      <c r="E506">
        <f t="shared" si="44"/>
        <v>496</v>
      </c>
      <c r="F506" s="39">
        <f t="shared" ca="1" si="40"/>
        <v>91.028577651555452</v>
      </c>
      <c r="G506" s="42">
        <f t="shared" ca="1" si="41"/>
        <v>2668.8287518951083</v>
      </c>
      <c r="H506" s="42">
        <f t="shared" ca="1" si="42"/>
        <v>2640.8287518951083</v>
      </c>
      <c r="I506" s="42">
        <f t="shared" ca="1" si="43"/>
        <v>0</v>
      </c>
    </row>
    <row r="507" spans="5:9" x14ac:dyDescent="0.25">
      <c r="E507">
        <f t="shared" si="44"/>
        <v>497</v>
      </c>
      <c r="F507" s="39">
        <f t="shared" ca="1" si="40"/>
        <v>35.511871243708093</v>
      </c>
      <c r="G507" s="42">
        <f t="shared" ca="1" si="41"/>
        <v>1058.8442660675346</v>
      </c>
      <c r="H507" s="42">
        <f t="shared" ca="1" si="42"/>
        <v>1030.8442660675346</v>
      </c>
      <c r="I507" s="42">
        <f t="shared" ca="1" si="43"/>
        <v>0</v>
      </c>
    </row>
    <row r="508" spans="5:9" x14ac:dyDescent="0.25">
      <c r="E508">
        <f t="shared" si="44"/>
        <v>498</v>
      </c>
      <c r="F508" s="39">
        <f t="shared" ca="1" si="40"/>
        <v>-13.535205063870578</v>
      </c>
      <c r="G508" s="42">
        <f t="shared" ca="1" si="41"/>
        <v>-363.52094685224677</v>
      </c>
      <c r="H508" s="42">
        <f t="shared" ca="1" si="42"/>
        <v>-391.52094685224677</v>
      </c>
      <c r="I508" s="42">
        <f t="shared" ca="1" si="43"/>
        <v>0</v>
      </c>
    </row>
    <row r="509" spans="5:9" x14ac:dyDescent="0.25">
      <c r="E509">
        <f t="shared" si="44"/>
        <v>499</v>
      </c>
      <c r="F509" s="39">
        <f t="shared" ca="1" si="40"/>
        <v>11.235907318061098</v>
      </c>
      <c r="G509" s="42">
        <f t="shared" ca="1" si="41"/>
        <v>354.84131222377187</v>
      </c>
      <c r="H509" s="42">
        <f t="shared" ca="1" si="42"/>
        <v>326.84131222377187</v>
      </c>
      <c r="I509" s="42">
        <f t="shared" ca="1" si="43"/>
        <v>0</v>
      </c>
    </row>
    <row r="510" spans="5:9" x14ac:dyDescent="0.25">
      <c r="E510">
        <f t="shared" si="44"/>
        <v>500</v>
      </c>
      <c r="F510" s="39">
        <f t="shared" ca="1" si="40"/>
        <v>-6.0471195336674413</v>
      </c>
      <c r="G510" s="42">
        <f t="shared" ca="1" si="41"/>
        <v>-146.36646647635581</v>
      </c>
      <c r="H510" s="42">
        <f t="shared" ca="1" si="42"/>
        <v>-174.36646647635581</v>
      </c>
      <c r="I510" s="42">
        <f t="shared" ca="1" si="43"/>
        <v>0</v>
      </c>
    </row>
    <row r="511" spans="5:9" x14ac:dyDescent="0.25">
      <c r="E511">
        <f t="shared" si="44"/>
        <v>501</v>
      </c>
      <c r="F511" s="39">
        <f t="shared" ca="1" si="40"/>
        <v>46.114971665271902</v>
      </c>
      <c r="G511" s="42">
        <f t="shared" ca="1" si="41"/>
        <v>1366.3341782928851</v>
      </c>
      <c r="H511" s="42">
        <f t="shared" ca="1" si="42"/>
        <v>1338.3341782928851</v>
      </c>
      <c r="I511" s="42">
        <f t="shared" ca="1" si="43"/>
        <v>0</v>
      </c>
    </row>
    <row r="512" spans="5:9" x14ac:dyDescent="0.25">
      <c r="E512">
        <f t="shared" si="44"/>
        <v>502</v>
      </c>
      <c r="F512" s="39">
        <f t="shared" ca="1" si="40"/>
        <v>71.432577854001508</v>
      </c>
      <c r="G512" s="42">
        <f t="shared" ca="1" si="41"/>
        <v>2100.5447577660439</v>
      </c>
      <c r="H512" s="42">
        <f t="shared" ca="1" si="42"/>
        <v>2072.5447577660439</v>
      </c>
      <c r="I512" s="42">
        <f t="shared" ca="1" si="43"/>
        <v>0</v>
      </c>
    </row>
    <row r="513" spans="5:9" x14ac:dyDescent="0.25">
      <c r="E513">
        <f t="shared" si="44"/>
        <v>503</v>
      </c>
      <c r="F513" s="39">
        <f t="shared" ca="1" si="40"/>
        <v>6.2988901599072236</v>
      </c>
      <c r="G513" s="42">
        <f t="shared" ca="1" si="41"/>
        <v>211.66781463730948</v>
      </c>
      <c r="H513" s="42">
        <f t="shared" ca="1" si="42"/>
        <v>183.66781463730948</v>
      </c>
      <c r="I513" s="42">
        <f t="shared" ca="1" si="43"/>
        <v>0</v>
      </c>
    </row>
    <row r="514" spans="5:9" x14ac:dyDescent="0.25">
      <c r="E514">
        <f t="shared" si="44"/>
        <v>504</v>
      </c>
      <c r="F514" s="39">
        <f t="shared" ca="1" si="40"/>
        <v>3.937321902546568</v>
      </c>
      <c r="G514" s="42">
        <f t="shared" ca="1" si="41"/>
        <v>143.18233517385048</v>
      </c>
      <c r="H514" s="42">
        <f t="shared" ca="1" si="42"/>
        <v>115.18233517385048</v>
      </c>
      <c r="I514" s="42">
        <f t="shared" ca="1" si="43"/>
        <v>0</v>
      </c>
    </row>
    <row r="515" spans="5:9" x14ac:dyDescent="0.25">
      <c r="E515">
        <f t="shared" si="44"/>
        <v>505</v>
      </c>
      <c r="F515" s="39">
        <f t="shared" ca="1" si="40"/>
        <v>82.552900810896944</v>
      </c>
      <c r="G515" s="42">
        <f t="shared" ca="1" si="41"/>
        <v>2423.0341235160113</v>
      </c>
      <c r="H515" s="42">
        <f t="shared" ca="1" si="42"/>
        <v>2395.0341235160113</v>
      </c>
      <c r="I515" s="42">
        <f t="shared" ca="1" si="43"/>
        <v>0</v>
      </c>
    </row>
    <row r="516" spans="5:9" x14ac:dyDescent="0.25">
      <c r="E516">
        <f t="shared" si="44"/>
        <v>506</v>
      </c>
      <c r="F516" s="39">
        <f t="shared" ca="1" si="40"/>
        <v>35.575402037323826</v>
      </c>
      <c r="G516" s="42">
        <f t="shared" ca="1" si="41"/>
        <v>1060.6866590823909</v>
      </c>
      <c r="H516" s="42">
        <f t="shared" ca="1" si="42"/>
        <v>1032.6866590823909</v>
      </c>
      <c r="I516" s="42">
        <f t="shared" ca="1" si="43"/>
        <v>0</v>
      </c>
    </row>
    <row r="517" spans="5:9" x14ac:dyDescent="0.25">
      <c r="E517">
        <f t="shared" si="44"/>
        <v>507</v>
      </c>
      <c r="F517" s="39">
        <f t="shared" ca="1" si="40"/>
        <v>92.210862556261915</v>
      </c>
      <c r="G517" s="42">
        <f t="shared" ca="1" si="41"/>
        <v>2703.1150141315957</v>
      </c>
      <c r="H517" s="42">
        <f t="shared" ca="1" si="42"/>
        <v>2675.1150141315957</v>
      </c>
      <c r="I517" s="42">
        <f t="shared" ca="1" si="43"/>
        <v>0</v>
      </c>
    </row>
    <row r="518" spans="5:9" x14ac:dyDescent="0.25">
      <c r="E518">
        <f t="shared" si="44"/>
        <v>508</v>
      </c>
      <c r="F518" s="39">
        <f t="shared" ca="1" si="40"/>
        <v>3.3565594514821413</v>
      </c>
      <c r="G518" s="42">
        <f t="shared" ca="1" si="41"/>
        <v>126.3402240929821</v>
      </c>
      <c r="H518" s="42">
        <f t="shared" ca="1" si="42"/>
        <v>98.340224092982098</v>
      </c>
      <c r="I518" s="42">
        <f t="shared" ca="1" si="43"/>
        <v>0</v>
      </c>
    </row>
    <row r="519" spans="5:9" x14ac:dyDescent="0.25">
      <c r="E519">
        <f t="shared" si="44"/>
        <v>509</v>
      </c>
      <c r="F519" s="39">
        <f t="shared" ca="1" si="40"/>
        <v>2.6868258035605521</v>
      </c>
      <c r="G519" s="42">
        <f t="shared" ca="1" si="41"/>
        <v>106.91794830325601</v>
      </c>
      <c r="H519" s="42">
        <f t="shared" ca="1" si="42"/>
        <v>78.917948303256011</v>
      </c>
      <c r="I519" s="42">
        <f t="shared" ca="1" si="43"/>
        <v>0</v>
      </c>
    </row>
    <row r="520" spans="5:9" x14ac:dyDescent="0.25">
      <c r="E520">
        <f t="shared" si="44"/>
        <v>510</v>
      </c>
      <c r="F520" s="39">
        <f t="shared" ca="1" si="40"/>
        <v>65.736626716083748</v>
      </c>
      <c r="G520" s="42">
        <f t="shared" ca="1" si="41"/>
        <v>1935.3621747664288</v>
      </c>
      <c r="H520" s="42">
        <f t="shared" ca="1" si="42"/>
        <v>1907.3621747664288</v>
      </c>
      <c r="I520" s="42">
        <f t="shared" ca="1" si="43"/>
        <v>0</v>
      </c>
    </row>
    <row r="521" spans="5:9" x14ac:dyDescent="0.25">
      <c r="E521">
        <f t="shared" si="44"/>
        <v>511</v>
      </c>
      <c r="F521" s="39">
        <f t="shared" ca="1" si="40"/>
        <v>16.10555496795039</v>
      </c>
      <c r="G521" s="42">
        <f t="shared" ca="1" si="41"/>
        <v>496.0610940705613</v>
      </c>
      <c r="H521" s="42">
        <f t="shared" ca="1" si="42"/>
        <v>468.0610940705613</v>
      </c>
      <c r="I521" s="42">
        <f t="shared" ca="1" si="43"/>
        <v>0</v>
      </c>
    </row>
    <row r="522" spans="5:9" x14ac:dyDescent="0.25">
      <c r="E522">
        <f t="shared" si="44"/>
        <v>512</v>
      </c>
      <c r="F522" s="39">
        <f t="shared" ca="1" si="40"/>
        <v>16.063928192397238</v>
      </c>
      <c r="G522" s="42">
        <f t="shared" ca="1" si="41"/>
        <v>494.85391757951993</v>
      </c>
      <c r="H522" s="42">
        <f t="shared" ca="1" si="42"/>
        <v>466.85391757951993</v>
      </c>
      <c r="I522" s="42">
        <f t="shared" ca="1" si="43"/>
        <v>0</v>
      </c>
    </row>
    <row r="523" spans="5:9" x14ac:dyDescent="0.25">
      <c r="E523">
        <f t="shared" si="44"/>
        <v>513</v>
      </c>
      <c r="F523" s="39">
        <f t="shared" ca="1" si="40"/>
        <v>68.315004636600662</v>
      </c>
      <c r="G523" s="42">
        <f t="shared" ca="1" si="41"/>
        <v>2010.1351344614193</v>
      </c>
      <c r="H523" s="42">
        <f t="shared" ca="1" si="42"/>
        <v>1982.1351344614193</v>
      </c>
      <c r="I523" s="42">
        <f t="shared" ca="1" si="43"/>
        <v>0</v>
      </c>
    </row>
    <row r="524" spans="5:9" x14ac:dyDescent="0.25">
      <c r="E524">
        <f t="shared" si="44"/>
        <v>514</v>
      </c>
      <c r="F524" s="39">
        <f t="shared" ref="F524:F587" ca="1" si="45">_xlfn.NORM.INV(RAND(),$E$45,$E$46)</f>
        <v>28.937029189313503</v>
      </c>
      <c r="G524" s="42">
        <f t="shared" ref="G524:G587" ca="1" si="46">$E$39*(1+F524)</f>
        <v>868.17384649009159</v>
      </c>
      <c r="H524" s="42">
        <f t="shared" ref="H524:H587" ca="1" si="47">MAX(G524-$E$38)</f>
        <v>840.17384649009159</v>
      </c>
      <c r="I524" s="42">
        <f t="shared" ref="I524:I587" ca="1" si="48">MAX($E$38-$H$43,0)</f>
        <v>0</v>
      </c>
    </row>
    <row r="525" spans="5:9" x14ac:dyDescent="0.25">
      <c r="E525">
        <f t="shared" ref="E525:E588" si="49">E524+1</f>
        <v>515</v>
      </c>
      <c r="F525" s="39">
        <f t="shared" ca="1" si="45"/>
        <v>-2.8957843710380189</v>
      </c>
      <c r="G525" s="42">
        <f t="shared" ca="1" si="46"/>
        <v>-54.977746760102548</v>
      </c>
      <c r="H525" s="42">
        <f t="shared" ca="1" si="47"/>
        <v>-82.977746760102548</v>
      </c>
      <c r="I525" s="42">
        <f t="shared" ca="1" si="48"/>
        <v>0</v>
      </c>
    </row>
    <row r="526" spans="5:9" x14ac:dyDescent="0.25">
      <c r="E526">
        <f t="shared" si="49"/>
        <v>516</v>
      </c>
      <c r="F526" s="39">
        <f t="shared" ca="1" si="45"/>
        <v>88.290242612520643</v>
      </c>
      <c r="G526" s="42">
        <f t="shared" ca="1" si="46"/>
        <v>2589.4170357630987</v>
      </c>
      <c r="H526" s="42">
        <f t="shared" ca="1" si="47"/>
        <v>2561.4170357630987</v>
      </c>
      <c r="I526" s="42">
        <f t="shared" ca="1" si="48"/>
        <v>0</v>
      </c>
    </row>
    <row r="527" spans="5:9" x14ac:dyDescent="0.25">
      <c r="E527">
        <f t="shared" si="49"/>
        <v>517</v>
      </c>
      <c r="F527" s="39">
        <f t="shared" ca="1" si="45"/>
        <v>40.391125983418462</v>
      </c>
      <c r="G527" s="42">
        <f t="shared" ca="1" si="46"/>
        <v>1200.3426535191354</v>
      </c>
      <c r="H527" s="42">
        <f t="shared" ca="1" si="47"/>
        <v>1172.3426535191354</v>
      </c>
      <c r="I527" s="42">
        <f t="shared" ca="1" si="48"/>
        <v>0</v>
      </c>
    </row>
    <row r="528" spans="5:9" x14ac:dyDescent="0.25">
      <c r="E528">
        <f t="shared" si="49"/>
        <v>518</v>
      </c>
      <c r="F528" s="39">
        <f t="shared" ca="1" si="45"/>
        <v>66.572998987826907</v>
      </c>
      <c r="G528" s="42">
        <f t="shared" ca="1" si="46"/>
        <v>1959.6169706469802</v>
      </c>
      <c r="H528" s="42">
        <f t="shared" ca="1" si="47"/>
        <v>1931.6169706469802</v>
      </c>
      <c r="I528" s="42">
        <f t="shared" ca="1" si="48"/>
        <v>0</v>
      </c>
    </row>
    <row r="529" spans="5:9" x14ac:dyDescent="0.25">
      <c r="E529">
        <f t="shared" si="49"/>
        <v>519</v>
      </c>
      <c r="F529" s="39">
        <f t="shared" ca="1" si="45"/>
        <v>101.84344163209875</v>
      </c>
      <c r="G529" s="42">
        <f t="shared" ca="1" si="46"/>
        <v>2982.4598073308634</v>
      </c>
      <c r="H529" s="42">
        <f t="shared" ca="1" si="47"/>
        <v>2954.4598073308634</v>
      </c>
      <c r="I529" s="42">
        <f t="shared" ca="1" si="48"/>
        <v>0</v>
      </c>
    </row>
    <row r="530" spans="5:9" x14ac:dyDescent="0.25">
      <c r="E530">
        <f t="shared" si="49"/>
        <v>520</v>
      </c>
      <c r="F530" s="39">
        <f t="shared" ca="1" si="45"/>
        <v>-32.604989582648997</v>
      </c>
      <c r="G530" s="42">
        <f t="shared" ca="1" si="46"/>
        <v>-916.54469789682094</v>
      </c>
      <c r="H530" s="42">
        <f t="shared" ca="1" si="47"/>
        <v>-944.54469789682094</v>
      </c>
      <c r="I530" s="42">
        <f t="shared" ca="1" si="48"/>
        <v>0</v>
      </c>
    </row>
    <row r="531" spans="5:9" x14ac:dyDescent="0.25">
      <c r="E531">
        <f t="shared" si="49"/>
        <v>521</v>
      </c>
      <c r="F531" s="39">
        <f t="shared" ca="1" si="45"/>
        <v>57.679285423817205</v>
      </c>
      <c r="G531" s="42">
        <f t="shared" ca="1" si="46"/>
        <v>1701.699277290699</v>
      </c>
      <c r="H531" s="42">
        <f t="shared" ca="1" si="47"/>
        <v>1673.699277290699</v>
      </c>
      <c r="I531" s="42">
        <f t="shared" ca="1" si="48"/>
        <v>0</v>
      </c>
    </row>
    <row r="532" spans="5:9" x14ac:dyDescent="0.25">
      <c r="E532">
        <f t="shared" si="49"/>
        <v>522</v>
      </c>
      <c r="F532" s="39">
        <f t="shared" ca="1" si="45"/>
        <v>-15.805577847788371</v>
      </c>
      <c r="G532" s="42">
        <f t="shared" ca="1" si="46"/>
        <v>-429.36175758586273</v>
      </c>
      <c r="H532" s="42">
        <f t="shared" ca="1" si="47"/>
        <v>-457.36175758586273</v>
      </c>
      <c r="I532" s="42">
        <f t="shared" ca="1" si="48"/>
        <v>0</v>
      </c>
    </row>
    <row r="533" spans="5:9" x14ac:dyDescent="0.25">
      <c r="E533">
        <f t="shared" si="49"/>
        <v>523</v>
      </c>
      <c r="F533" s="39">
        <f t="shared" ca="1" si="45"/>
        <v>-21.398717944706753</v>
      </c>
      <c r="G533" s="42">
        <f t="shared" ca="1" si="46"/>
        <v>-591.56282039649579</v>
      </c>
      <c r="H533" s="42">
        <f t="shared" ca="1" si="47"/>
        <v>-619.56282039649579</v>
      </c>
      <c r="I533" s="42">
        <f t="shared" ca="1" si="48"/>
        <v>0</v>
      </c>
    </row>
    <row r="534" spans="5:9" x14ac:dyDescent="0.25">
      <c r="E534">
        <f t="shared" si="49"/>
        <v>524</v>
      </c>
      <c r="F534" s="39">
        <f t="shared" ca="1" si="45"/>
        <v>44.840138399515155</v>
      </c>
      <c r="G534" s="42">
        <f t="shared" ca="1" si="46"/>
        <v>1329.3640135859396</v>
      </c>
      <c r="H534" s="42">
        <f t="shared" ca="1" si="47"/>
        <v>1301.3640135859396</v>
      </c>
      <c r="I534" s="42">
        <f t="shared" ca="1" si="48"/>
        <v>0</v>
      </c>
    </row>
    <row r="535" spans="5:9" x14ac:dyDescent="0.25">
      <c r="E535">
        <f t="shared" si="49"/>
        <v>525</v>
      </c>
      <c r="F535" s="39">
        <f t="shared" ca="1" si="45"/>
        <v>55.818696210502026</v>
      </c>
      <c r="G535" s="42">
        <f t="shared" ca="1" si="46"/>
        <v>1647.7421901045586</v>
      </c>
      <c r="H535" s="42">
        <f t="shared" ca="1" si="47"/>
        <v>1619.7421901045586</v>
      </c>
      <c r="I535" s="42">
        <f t="shared" ca="1" si="48"/>
        <v>0</v>
      </c>
    </row>
    <row r="536" spans="5:9" x14ac:dyDescent="0.25">
      <c r="E536">
        <f t="shared" si="49"/>
        <v>526</v>
      </c>
      <c r="F536" s="39">
        <f t="shared" ca="1" si="45"/>
        <v>12.375291212438043</v>
      </c>
      <c r="G536" s="42">
        <f t="shared" ca="1" si="46"/>
        <v>387.88344516070322</v>
      </c>
      <c r="H536" s="42">
        <f t="shared" ca="1" si="47"/>
        <v>359.88344516070322</v>
      </c>
      <c r="I536" s="42">
        <f t="shared" ca="1" si="48"/>
        <v>0</v>
      </c>
    </row>
    <row r="537" spans="5:9" x14ac:dyDescent="0.25">
      <c r="E537">
        <f t="shared" si="49"/>
        <v>527</v>
      </c>
      <c r="F537" s="39">
        <f t="shared" ca="1" si="45"/>
        <v>68.780460011585589</v>
      </c>
      <c r="G537" s="42">
        <f t="shared" ca="1" si="46"/>
        <v>2023.633340335982</v>
      </c>
      <c r="H537" s="42">
        <f t="shared" ca="1" si="47"/>
        <v>1995.633340335982</v>
      </c>
      <c r="I537" s="42">
        <f t="shared" ca="1" si="48"/>
        <v>0</v>
      </c>
    </row>
    <row r="538" spans="5:9" x14ac:dyDescent="0.25">
      <c r="E538">
        <f t="shared" si="49"/>
        <v>528</v>
      </c>
      <c r="F538" s="39">
        <f t="shared" ca="1" si="45"/>
        <v>50.610835422907343</v>
      </c>
      <c r="G538" s="42">
        <f t="shared" ca="1" si="46"/>
        <v>1496.714227264313</v>
      </c>
      <c r="H538" s="42">
        <f t="shared" ca="1" si="47"/>
        <v>1468.714227264313</v>
      </c>
      <c r="I538" s="42">
        <f t="shared" ca="1" si="48"/>
        <v>0</v>
      </c>
    </row>
    <row r="539" spans="5:9" x14ac:dyDescent="0.25">
      <c r="E539">
        <f t="shared" si="49"/>
        <v>529</v>
      </c>
      <c r="F539" s="39">
        <f t="shared" ca="1" si="45"/>
        <v>-40.602587950928324</v>
      </c>
      <c r="G539" s="42">
        <f t="shared" ca="1" si="46"/>
        <v>-1148.4750505769214</v>
      </c>
      <c r="H539" s="42">
        <f t="shared" ca="1" si="47"/>
        <v>-1176.4750505769214</v>
      </c>
      <c r="I539" s="42">
        <f t="shared" ca="1" si="48"/>
        <v>0</v>
      </c>
    </row>
    <row r="540" spans="5:9" x14ac:dyDescent="0.25">
      <c r="E540">
        <f t="shared" si="49"/>
        <v>530</v>
      </c>
      <c r="F540" s="39">
        <f t="shared" ca="1" si="45"/>
        <v>9.9658971617290035</v>
      </c>
      <c r="G540" s="42">
        <f t="shared" ca="1" si="46"/>
        <v>318.0110176901411</v>
      </c>
      <c r="H540" s="42">
        <f t="shared" ca="1" si="47"/>
        <v>290.0110176901411</v>
      </c>
      <c r="I540" s="42">
        <f t="shared" ca="1" si="48"/>
        <v>0</v>
      </c>
    </row>
    <row r="541" spans="5:9" x14ac:dyDescent="0.25">
      <c r="E541">
        <f t="shared" si="49"/>
        <v>531</v>
      </c>
      <c r="F541" s="39">
        <f t="shared" ca="1" si="45"/>
        <v>-5.9883379863787809</v>
      </c>
      <c r="G541" s="42">
        <f t="shared" ca="1" si="46"/>
        <v>-144.66180160498465</v>
      </c>
      <c r="H541" s="42">
        <f t="shared" ca="1" si="47"/>
        <v>-172.66180160498465</v>
      </c>
      <c r="I541" s="42">
        <f t="shared" ca="1" si="48"/>
        <v>0</v>
      </c>
    </row>
    <row r="542" spans="5:9" x14ac:dyDescent="0.25">
      <c r="E542">
        <f t="shared" si="49"/>
        <v>532</v>
      </c>
      <c r="F542" s="39">
        <f t="shared" ca="1" si="45"/>
        <v>22.314468197699767</v>
      </c>
      <c r="G542" s="42">
        <f t="shared" ca="1" si="46"/>
        <v>676.11957773329323</v>
      </c>
      <c r="H542" s="42">
        <f t="shared" ca="1" si="47"/>
        <v>648.11957773329323</v>
      </c>
      <c r="I542" s="42">
        <f t="shared" ca="1" si="48"/>
        <v>0</v>
      </c>
    </row>
    <row r="543" spans="5:9" x14ac:dyDescent="0.25">
      <c r="E543">
        <f t="shared" si="49"/>
        <v>533</v>
      </c>
      <c r="F543" s="39">
        <f t="shared" ca="1" si="45"/>
        <v>0.18496621155682647</v>
      </c>
      <c r="G543" s="42">
        <f t="shared" ca="1" si="46"/>
        <v>34.364020135147967</v>
      </c>
      <c r="H543" s="42">
        <f t="shared" ca="1" si="47"/>
        <v>6.3640201351479675</v>
      </c>
      <c r="I543" s="42">
        <f t="shared" ca="1" si="48"/>
        <v>0</v>
      </c>
    </row>
    <row r="544" spans="5:9" x14ac:dyDescent="0.25">
      <c r="E544">
        <f t="shared" si="49"/>
        <v>534</v>
      </c>
      <c r="F544" s="39">
        <f t="shared" ca="1" si="45"/>
        <v>89.050964022109923</v>
      </c>
      <c r="G544" s="42">
        <f t="shared" ca="1" si="46"/>
        <v>2611.4779566411876</v>
      </c>
      <c r="H544" s="42">
        <f t="shared" ca="1" si="47"/>
        <v>2583.4779566411876</v>
      </c>
      <c r="I544" s="42">
        <f t="shared" ca="1" si="48"/>
        <v>0</v>
      </c>
    </row>
    <row r="545" spans="5:9" x14ac:dyDescent="0.25">
      <c r="E545">
        <f t="shared" si="49"/>
        <v>535</v>
      </c>
      <c r="F545" s="39">
        <f t="shared" ca="1" si="45"/>
        <v>8.6073028105113742</v>
      </c>
      <c r="G545" s="42">
        <f t="shared" ca="1" si="46"/>
        <v>278.61178150482988</v>
      </c>
      <c r="H545" s="42">
        <f t="shared" ca="1" si="47"/>
        <v>250.61178150482988</v>
      </c>
      <c r="I545" s="42">
        <f t="shared" ca="1" si="48"/>
        <v>0</v>
      </c>
    </row>
    <row r="546" spans="5:9" x14ac:dyDescent="0.25">
      <c r="E546">
        <f t="shared" si="49"/>
        <v>536</v>
      </c>
      <c r="F546" s="39">
        <f t="shared" ca="1" si="45"/>
        <v>86.198145853353083</v>
      </c>
      <c r="G546" s="42">
        <f t="shared" ca="1" si="46"/>
        <v>2528.7462297472393</v>
      </c>
      <c r="H546" s="42">
        <f t="shared" ca="1" si="47"/>
        <v>2500.7462297472393</v>
      </c>
      <c r="I546" s="42">
        <f t="shared" ca="1" si="48"/>
        <v>0</v>
      </c>
    </row>
    <row r="547" spans="5:9" x14ac:dyDescent="0.25">
      <c r="E547">
        <f t="shared" si="49"/>
        <v>537</v>
      </c>
      <c r="F547" s="39">
        <f t="shared" ca="1" si="45"/>
        <v>76.24424904900026</v>
      </c>
      <c r="G547" s="42">
        <f t="shared" ca="1" si="46"/>
        <v>2240.0832224210076</v>
      </c>
      <c r="H547" s="42">
        <f t="shared" ca="1" si="47"/>
        <v>2212.0832224210076</v>
      </c>
      <c r="I547" s="42">
        <f t="shared" ca="1" si="48"/>
        <v>0</v>
      </c>
    </row>
    <row r="548" spans="5:9" x14ac:dyDescent="0.25">
      <c r="E548">
        <f t="shared" si="49"/>
        <v>538</v>
      </c>
      <c r="F548" s="39">
        <f t="shared" ca="1" si="45"/>
        <v>49.12426831981022</v>
      </c>
      <c r="G548" s="42">
        <f t="shared" ca="1" si="46"/>
        <v>1453.6037812744964</v>
      </c>
      <c r="H548" s="42">
        <f t="shared" ca="1" si="47"/>
        <v>1425.6037812744964</v>
      </c>
      <c r="I548" s="42">
        <f t="shared" ca="1" si="48"/>
        <v>0</v>
      </c>
    </row>
    <row r="549" spans="5:9" x14ac:dyDescent="0.25">
      <c r="E549">
        <f t="shared" si="49"/>
        <v>539</v>
      </c>
      <c r="F549" s="39">
        <f t="shared" ca="1" si="45"/>
        <v>48.777594069868172</v>
      </c>
      <c r="G549" s="42">
        <f t="shared" ca="1" si="46"/>
        <v>1443.5502280261769</v>
      </c>
      <c r="H549" s="42">
        <f t="shared" ca="1" si="47"/>
        <v>1415.5502280261769</v>
      </c>
      <c r="I549" s="42">
        <f t="shared" ca="1" si="48"/>
        <v>0</v>
      </c>
    </row>
    <row r="550" spans="5:9" x14ac:dyDescent="0.25">
      <c r="E550">
        <f t="shared" si="49"/>
        <v>540</v>
      </c>
      <c r="F550" s="39">
        <f t="shared" ca="1" si="45"/>
        <v>44.25981561537273</v>
      </c>
      <c r="G550" s="42">
        <f t="shared" ca="1" si="46"/>
        <v>1312.5346528458092</v>
      </c>
      <c r="H550" s="42">
        <f t="shared" ca="1" si="47"/>
        <v>1284.5346528458092</v>
      </c>
      <c r="I550" s="42">
        <f t="shared" ca="1" si="48"/>
        <v>0</v>
      </c>
    </row>
    <row r="551" spans="5:9" x14ac:dyDescent="0.25">
      <c r="E551">
        <f t="shared" si="49"/>
        <v>541</v>
      </c>
      <c r="F551" s="39">
        <f t="shared" ca="1" si="45"/>
        <v>48.78668173842464</v>
      </c>
      <c r="G551" s="42">
        <f t="shared" ca="1" si="46"/>
        <v>1443.8137704143146</v>
      </c>
      <c r="H551" s="42">
        <f t="shared" ca="1" si="47"/>
        <v>1415.8137704143146</v>
      </c>
      <c r="I551" s="42">
        <f t="shared" ca="1" si="48"/>
        <v>0</v>
      </c>
    </row>
    <row r="552" spans="5:9" x14ac:dyDescent="0.25">
      <c r="E552">
        <f t="shared" si="49"/>
        <v>542</v>
      </c>
      <c r="F552" s="39">
        <f t="shared" ca="1" si="45"/>
        <v>-21.791091608602613</v>
      </c>
      <c r="G552" s="42">
        <f t="shared" ca="1" si="46"/>
        <v>-602.94165664947582</v>
      </c>
      <c r="H552" s="42">
        <f t="shared" ca="1" si="47"/>
        <v>-630.94165664947582</v>
      </c>
      <c r="I552" s="42">
        <f t="shared" ca="1" si="48"/>
        <v>0</v>
      </c>
    </row>
    <row r="553" spans="5:9" x14ac:dyDescent="0.25">
      <c r="E553">
        <f t="shared" si="49"/>
        <v>543</v>
      </c>
      <c r="F553" s="39">
        <f t="shared" ca="1" si="45"/>
        <v>-48.38638609070766</v>
      </c>
      <c r="G553" s="42">
        <f t="shared" ca="1" si="46"/>
        <v>-1374.2051966305221</v>
      </c>
      <c r="H553" s="42">
        <f t="shared" ca="1" si="47"/>
        <v>-1402.2051966305221</v>
      </c>
      <c r="I553" s="42">
        <f t="shared" ca="1" si="48"/>
        <v>0</v>
      </c>
    </row>
    <row r="554" spans="5:9" x14ac:dyDescent="0.25">
      <c r="E554">
        <f t="shared" si="49"/>
        <v>544</v>
      </c>
      <c r="F554" s="39">
        <f t="shared" ca="1" si="45"/>
        <v>43.531984618140527</v>
      </c>
      <c r="G554" s="42">
        <f t="shared" ca="1" si="46"/>
        <v>1291.4275539260752</v>
      </c>
      <c r="H554" s="42">
        <f t="shared" ca="1" si="47"/>
        <v>1263.4275539260752</v>
      </c>
      <c r="I554" s="42">
        <f t="shared" ca="1" si="48"/>
        <v>0</v>
      </c>
    </row>
    <row r="555" spans="5:9" x14ac:dyDescent="0.25">
      <c r="E555">
        <f t="shared" si="49"/>
        <v>545</v>
      </c>
      <c r="F555" s="39">
        <f t="shared" ca="1" si="45"/>
        <v>95.965028299786155</v>
      </c>
      <c r="G555" s="42">
        <f t="shared" ca="1" si="46"/>
        <v>2811.9858206937984</v>
      </c>
      <c r="H555" s="42">
        <f t="shared" ca="1" si="47"/>
        <v>2783.9858206937984</v>
      </c>
      <c r="I555" s="42">
        <f t="shared" ca="1" si="48"/>
        <v>0</v>
      </c>
    </row>
    <row r="556" spans="5:9" x14ac:dyDescent="0.25">
      <c r="E556">
        <f t="shared" si="49"/>
        <v>546</v>
      </c>
      <c r="F556" s="39">
        <f t="shared" ca="1" si="45"/>
        <v>18.216937205632458</v>
      </c>
      <c r="G556" s="42">
        <f t="shared" ca="1" si="46"/>
        <v>557.29117896334128</v>
      </c>
      <c r="H556" s="42">
        <f t="shared" ca="1" si="47"/>
        <v>529.29117896334128</v>
      </c>
      <c r="I556" s="42">
        <f t="shared" ca="1" si="48"/>
        <v>0</v>
      </c>
    </row>
    <row r="557" spans="5:9" x14ac:dyDescent="0.25">
      <c r="E557">
        <f t="shared" si="49"/>
        <v>547</v>
      </c>
      <c r="F557" s="39">
        <f t="shared" ca="1" si="45"/>
        <v>21.389115066797636</v>
      </c>
      <c r="G557" s="42">
        <f t="shared" ca="1" si="46"/>
        <v>649.28433693713146</v>
      </c>
      <c r="H557" s="42">
        <f t="shared" ca="1" si="47"/>
        <v>621.28433693713146</v>
      </c>
      <c r="I557" s="42">
        <f t="shared" ca="1" si="48"/>
        <v>0</v>
      </c>
    </row>
    <row r="558" spans="5:9" x14ac:dyDescent="0.25">
      <c r="E558">
        <f t="shared" si="49"/>
        <v>548</v>
      </c>
      <c r="F558" s="39">
        <f t="shared" ca="1" si="45"/>
        <v>35.384920059334114</v>
      </c>
      <c r="G558" s="42">
        <f t="shared" ca="1" si="46"/>
        <v>1055.1626817206893</v>
      </c>
      <c r="H558" s="42">
        <f t="shared" ca="1" si="47"/>
        <v>1027.1626817206893</v>
      </c>
      <c r="I558" s="42">
        <f t="shared" ca="1" si="48"/>
        <v>0</v>
      </c>
    </row>
    <row r="559" spans="5:9" x14ac:dyDescent="0.25">
      <c r="E559">
        <f t="shared" si="49"/>
        <v>549</v>
      </c>
      <c r="F559" s="39">
        <f t="shared" ca="1" si="45"/>
        <v>35.939006902708542</v>
      </c>
      <c r="G559" s="42">
        <f t="shared" ca="1" si="46"/>
        <v>1071.2312001785476</v>
      </c>
      <c r="H559" s="42">
        <f t="shared" ca="1" si="47"/>
        <v>1043.2312001785476</v>
      </c>
      <c r="I559" s="42">
        <f t="shared" ca="1" si="48"/>
        <v>0</v>
      </c>
    </row>
    <row r="560" spans="5:9" x14ac:dyDescent="0.25">
      <c r="E560">
        <f t="shared" si="49"/>
        <v>550</v>
      </c>
      <c r="F560" s="39">
        <f t="shared" ca="1" si="45"/>
        <v>29.468936159028829</v>
      </c>
      <c r="G560" s="42">
        <f t="shared" ca="1" si="46"/>
        <v>883.59914861183597</v>
      </c>
      <c r="H560" s="42">
        <f t="shared" ca="1" si="47"/>
        <v>855.59914861183597</v>
      </c>
      <c r="I560" s="42">
        <f t="shared" ca="1" si="48"/>
        <v>0</v>
      </c>
    </row>
    <row r="561" spans="5:9" x14ac:dyDescent="0.25">
      <c r="E561">
        <f t="shared" si="49"/>
        <v>551</v>
      </c>
      <c r="F561" s="39">
        <f t="shared" ca="1" si="45"/>
        <v>21.277213240749024</v>
      </c>
      <c r="G561" s="42">
        <f t="shared" ca="1" si="46"/>
        <v>646.03918398172175</v>
      </c>
      <c r="H561" s="42">
        <f t="shared" ca="1" si="47"/>
        <v>618.03918398172175</v>
      </c>
      <c r="I561" s="42">
        <f t="shared" ca="1" si="48"/>
        <v>0</v>
      </c>
    </row>
    <row r="562" spans="5:9" x14ac:dyDescent="0.25">
      <c r="E562">
        <f t="shared" si="49"/>
        <v>552</v>
      </c>
      <c r="F562" s="39">
        <f t="shared" ca="1" si="45"/>
        <v>50.674501879192633</v>
      </c>
      <c r="G562" s="42">
        <f t="shared" ca="1" si="46"/>
        <v>1498.5605544965863</v>
      </c>
      <c r="H562" s="42">
        <f t="shared" ca="1" si="47"/>
        <v>1470.5605544965863</v>
      </c>
      <c r="I562" s="42">
        <f t="shared" ca="1" si="48"/>
        <v>0</v>
      </c>
    </row>
    <row r="563" spans="5:9" x14ac:dyDescent="0.25">
      <c r="E563">
        <f t="shared" si="49"/>
        <v>553</v>
      </c>
      <c r="F563" s="39">
        <f t="shared" ca="1" si="45"/>
        <v>21.337422196786882</v>
      </c>
      <c r="G563" s="42">
        <f t="shared" ca="1" si="46"/>
        <v>647.78524370681953</v>
      </c>
      <c r="H563" s="42">
        <f t="shared" ca="1" si="47"/>
        <v>619.78524370681953</v>
      </c>
      <c r="I563" s="42">
        <f t="shared" ca="1" si="48"/>
        <v>0</v>
      </c>
    </row>
    <row r="564" spans="5:9" x14ac:dyDescent="0.25">
      <c r="E564">
        <f t="shared" si="49"/>
        <v>554</v>
      </c>
      <c r="F564" s="39">
        <f t="shared" ca="1" si="45"/>
        <v>-3.5128199037545045</v>
      </c>
      <c r="G564" s="42">
        <f t="shared" ca="1" si="46"/>
        <v>-72.87177720888063</v>
      </c>
      <c r="H564" s="42">
        <f t="shared" ca="1" si="47"/>
        <v>-100.87177720888063</v>
      </c>
      <c r="I564" s="42">
        <f t="shared" ca="1" si="48"/>
        <v>0</v>
      </c>
    </row>
    <row r="565" spans="5:9" x14ac:dyDescent="0.25">
      <c r="E565">
        <f t="shared" si="49"/>
        <v>555</v>
      </c>
      <c r="F565" s="39">
        <f t="shared" ca="1" si="45"/>
        <v>65.743278993761592</v>
      </c>
      <c r="G565" s="42">
        <f t="shared" ca="1" si="46"/>
        <v>1935.5550908190862</v>
      </c>
      <c r="H565" s="42">
        <f t="shared" ca="1" si="47"/>
        <v>1907.5550908190862</v>
      </c>
      <c r="I565" s="42">
        <f t="shared" ca="1" si="48"/>
        <v>0</v>
      </c>
    </row>
    <row r="566" spans="5:9" x14ac:dyDescent="0.25">
      <c r="E566">
        <f t="shared" si="49"/>
        <v>556</v>
      </c>
      <c r="F566" s="39">
        <f t="shared" ca="1" si="45"/>
        <v>71.518816044760698</v>
      </c>
      <c r="G566" s="42">
        <f t="shared" ca="1" si="46"/>
        <v>2103.0456652980602</v>
      </c>
      <c r="H566" s="42">
        <f t="shared" ca="1" si="47"/>
        <v>2075.0456652980602</v>
      </c>
      <c r="I566" s="42">
        <f t="shared" ca="1" si="48"/>
        <v>0</v>
      </c>
    </row>
    <row r="567" spans="5:9" x14ac:dyDescent="0.25">
      <c r="E567">
        <f t="shared" si="49"/>
        <v>557</v>
      </c>
      <c r="F567" s="39">
        <f t="shared" ca="1" si="45"/>
        <v>96.594105823455294</v>
      </c>
      <c r="G567" s="42">
        <f t="shared" ca="1" si="46"/>
        <v>2830.2290688802036</v>
      </c>
      <c r="H567" s="42">
        <f t="shared" ca="1" si="47"/>
        <v>2802.2290688802036</v>
      </c>
      <c r="I567" s="42">
        <f t="shared" ca="1" si="48"/>
        <v>0</v>
      </c>
    </row>
    <row r="568" spans="5:9" x14ac:dyDescent="0.25">
      <c r="E568">
        <f t="shared" si="49"/>
        <v>558</v>
      </c>
      <c r="F568" s="39">
        <f t="shared" ca="1" si="45"/>
        <v>29.271738095197502</v>
      </c>
      <c r="G568" s="42">
        <f t="shared" ca="1" si="46"/>
        <v>877.88040476072752</v>
      </c>
      <c r="H568" s="42">
        <f t="shared" ca="1" si="47"/>
        <v>849.88040476072752</v>
      </c>
      <c r="I568" s="42">
        <f t="shared" ca="1" si="48"/>
        <v>0</v>
      </c>
    </row>
    <row r="569" spans="5:9" x14ac:dyDescent="0.25">
      <c r="E569">
        <f t="shared" si="49"/>
        <v>559</v>
      </c>
      <c r="F569" s="39">
        <f t="shared" ca="1" si="45"/>
        <v>49.429820905220083</v>
      </c>
      <c r="G569" s="42">
        <f t="shared" ca="1" si="46"/>
        <v>1462.4648062513825</v>
      </c>
      <c r="H569" s="42">
        <f t="shared" ca="1" si="47"/>
        <v>1434.4648062513825</v>
      </c>
      <c r="I569" s="42">
        <f t="shared" ca="1" si="48"/>
        <v>0</v>
      </c>
    </row>
    <row r="570" spans="5:9" x14ac:dyDescent="0.25">
      <c r="E570">
        <f t="shared" si="49"/>
        <v>560</v>
      </c>
      <c r="F570" s="39">
        <f t="shared" ca="1" si="45"/>
        <v>21.40704413241896</v>
      </c>
      <c r="G570" s="42">
        <f t="shared" ca="1" si="46"/>
        <v>649.80427984014989</v>
      </c>
      <c r="H570" s="42">
        <f t="shared" ca="1" si="47"/>
        <v>621.80427984014989</v>
      </c>
      <c r="I570" s="42">
        <f t="shared" ca="1" si="48"/>
        <v>0</v>
      </c>
    </row>
    <row r="571" spans="5:9" x14ac:dyDescent="0.25">
      <c r="E571">
        <f t="shared" si="49"/>
        <v>561</v>
      </c>
      <c r="F571" s="39">
        <f t="shared" ca="1" si="45"/>
        <v>47.499676776162389</v>
      </c>
      <c r="G571" s="42">
        <f t="shared" ca="1" si="46"/>
        <v>1406.4906265087093</v>
      </c>
      <c r="H571" s="42">
        <f t="shared" ca="1" si="47"/>
        <v>1378.4906265087093</v>
      </c>
      <c r="I571" s="42">
        <f t="shared" ca="1" si="48"/>
        <v>0</v>
      </c>
    </row>
    <row r="572" spans="5:9" x14ac:dyDescent="0.25">
      <c r="E572">
        <f t="shared" si="49"/>
        <v>562</v>
      </c>
      <c r="F572" s="39">
        <f t="shared" ca="1" si="45"/>
        <v>50.482786118955957</v>
      </c>
      <c r="G572" s="42">
        <f t="shared" ca="1" si="46"/>
        <v>1493.0007974497228</v>
      </c>
      <c r="H572" s="42">
        <f t="shared" ca="1" si="47"/>
        <v>1465.0007974497228</v>
      </c>
      <c r="I572" s="42">
        <f t="shared" ca="1" si="48"/>
        <v>0</v>
      </c>
    </row>
    <row r="573" spans="5:9" x14ac:dyDescent="0.25">
      <c r="E573">
        <f t="shared" si="49"/>
        <v>563</v>
      </c>
      <c r="F573" s="39">
        <f t="shared" ca="1" si="45"/>
        <v>34.283123043315229</v>
      </c>
      <c r="G573" s="42">
        <f t="shared" ca="1" si="46"/>
        <v>1023.2105682561416</v>
      </c>
      <c r="H573" s="42">
        <f t="shared" ca="1" si="47"/>
        <v>995.21056825614164</v>
      </c>
      <c r="I573" s="42">
        <f t="shared" ca="1" si="48"/>
        <v>0</v>
      </c>
    </row>
    <row r="574" spans="5:9" x14ac:dyDescent="0.25">
      <c r="E574">
        <f t="shared" si="49"/>
        <v>564</v>
      </c>
      <c r="F574" s="39">
        <f t="shared" ca="1" si="45"/>
        <v>38.233144555348261</v>
      </c>
      <c r="G574" s="42">
        <f t="shared" ca="1" si="46"/>
        <v>1137.7611921050996</v>
      </c>
      <c r="H574" s="42">
        <f t="shared" ca="1" si="47"/>
        <v>1109.7611921050996</v>
      </c>
      <c r="I574" s="42">
        <f t="shared" ca="1" si="48"/>
        <v>0</v>
      </c>
    </row>
    <row r="575" spans="5:9" x14ac:dyDescent="0.25">
      <c r="E575">
        <f t="shared" si="49"/>
        <v>565</v>
      </c>
      <c r="F575" s="39">
        <f t="shared" ca="1" si="45"/>
        <v>30.6975083545451</v>
      </c>
      <c r="G575" s="42">
        <f t="shared" ca="1" si="46"/>
        <v>919.22774228180788</v>
      </c>
      <c r="H575" s="42">
        <f t="shared" ca="1" si="47"/>
        <v>891.22774228180788</v>
      </c>
      <c r="I575" s="42">
        <f t="shared" ca="1" si="48"/>
        <v>0</v>
      </c>
    </row>
    <row r="576" spans="5:9" x14ac:dyDescent="0.25">
      <c r="E576">
        <f t="shared" si="49"/>
        <v>566</v>
      </c>
      <c r="F576" s="39">
        <f t="shared" ca="1" si="45"/>
        <v>74.503597518349125</v>
      </c>
      <c r="G576" s="42">
        <f t="shared" ca="1" si="46"/>
        <v>2189.6043280321246</v>
      </c>
      <c r="H576" s="42">
        <f t="shared" ca="1" si="47"/>
        <v>2161.6043280321246</v>
      </c>
      <c r="I576" s="42">
        <f t="shared" ca="1" si="48"/>
        <v>0</v>
      </c>
    </row>
    <row r="577" spans="5:9" x14ac:dyDescent="0.25">
      <c r="E577">
        <f t="shared" si="49"/>
        <v>567</v>
      </c>
      <c r="F577" s="39">
        <f t="shared" ca="1" si="45"/>
        <v>20.24529854808647</v>
      </c>
      <c r="G577" s="42">
        <f t="shared" ca="1" si="46"/>
        <v>616.1136578945077</v>
      </c>
      <c r="H577" s="42">
        <f t="shared" ca="1" si="47"/>
        <v>588.1136578945077</v>
      </c>
      <c r="I577" s="42">
        <f t="shared" ca="1" si="48"/>
        <v>0</v>
      </c>
    </row>
    <row r="578" spans="5:9" x14ac:dyDescent="0.25">
      <c r="E578">
        <f t="shared" si="49"/>
        <v>568</v>
      </c>
      <c r="F578" s="39">
        <f t="shared" ca="1" si="45"/>
        <v>-43.813049667753774</v>
      </c>
      <c r="G578" s="42">
        <f t="shared" ca="1" si="46"/>
        <v>-1241.5784403648595</v>
      </c>
      <c r="H578" s="42">
        <f t="shared" ca="1" si="47"/>
        <v>-1269.5784403648595</v>
      </c>
      <c r="I578" s="42">
        <f t="shared" ca="1" si="48"/>
        <v>0</v>
      </c>
    </row>
    <row r="579" spans="5:9" x14ac:dyDescent="0.25">
      <c r="E579">
        <f t="shared" si="49"/>
        <v>569</v>
      </c>
      <c r="F579" s="39">
        <f t="shared" ca="1" si="45"/>
        <v>7.8876268571670103</v>
      </c>
      <c r="G579" s="42">
        <f t="shared" ca="1" si="46"/>
        <v>257.74117885784329</v>
      </c>
      <c r="H579" s="42">
        <f t="shared" ca="1" si="47"/>
        <v>229.74117885784329</v>
      </c>
      <c r="I579" s="42">
        <f t="shared" ca="1" si="48"/>
        <v>0</v>
      </c>
    </row>
    <row r="580" spans="5:9" x14ac:dyDescent="0.25">
      <c r="E580">
        <f t="shared" si="49"/>
        <v>570</v>
      </c>
      <c r="F580" s="39">
        <f t="shared" ca="1" si="45"/>
        <v>64.974244515377762</v>
      </c>
      <c r="G580" s="42">
        <f t="shared" ca="1" si="46"/>
        <v>1913.2530909459551</v>
      </c>
      <c r="H580" s="42">
        <f t="shared" ca="1" si="47"/>
        <v>1885.2530909459551</v>
      </c>
      <c r="I580" s="42">
        <f t="shared" ca="1" si="48"/>
        <v>0</v>
      </c>
    </row>
    <row r="581" spans="5:9" x14ac:dyDescent="0.25">
      <c r="E581">
        <f t="shared" si="49"/>
        <v>571</v>
      </c>
      <c r="F581" s="39">
        <f t="shared" ca="1" si="45"/>
        <v>64.436421318525817</v>
      </c>
      <c r="G581" s="42">
        <f t="shared" ca="1" si="46"/>
        <v>1897.6562182372486</v>
      </c>
      <c r="H581" s="42">
        <f t="shared" ca="1" si="47"/>
        <v>1869.6562182372486</v>
      </c>
      <c r="I581" s="42">
        <f t="shared" ca="1" si="48"/>
        <v>0</v>
      </c>
    </row>
    <row r="582" spans="5:9" x14ac:dyDescent="0.25">
      <c r="E582">
        <f t="shared" si="49"/>
        <v>572</v>
      </c>
      <c r="F582" s="39">
        <f t="shared" ca="1" si="45"/>
        <v>58.08932684476634</v>
      </c>
      <c r="G582" s="42">
        <f t="shared" ca="1" si="46"/>
        <v>1713.5904784982238</v>
      </c>
      <c r="H582" s="42">
        <f t="shared" ca="1" si="47"/>
        <v>1685.5904784982238</v>
      </c>
      <c r="I582" s="42">
        <f t="shared" ca="1" si="48"/>
        <v>0</v>
      </c>
    </row>
    <row r="583" spans="5:9" x14ac:dyDescent="0.25">
      <c r="E583">
        <f t="shared" si="49"/>
        <v>573</v>
      </c>
      <c r="F583" s="39">
        <f t="shared" ca="1" si="45"/>
        <v>36.350818606664433</v>
      </c>
      <c r="G583" s="42">
        <f t="shared" ca="1" si="46"/>
        <v>1083.1737395932685</v>
      </c>
      <c r="H583" s="42">
        <f t="shared" ca="1" si="47"/>
        <v>1055.1737395932685</v>
      </c>
      <c r="I583" s="42">
        <f t="shared" ca="1" si="48"/>
        <v>0</v>
      </c>
    </row>
    <row r="584" spans="5:9" x14ac:dyDescent="0.25">
      <c r="E584">
        <f t="shared" si="49"/>
        <v>574</v>
      </c>
      <c r="F584" s="39">
        <f t="shared" ca="1" si="45"/>
        <v>27.522681647240294</v>
      </c>
      <c r="G584" s="42">
        <f t="shared" ca="1" si="46"/>
        <v>827.15776776996847</v>
      </c>
      <c r="H584" s="42">
        <f t="shared" ca="1" si="47"/>
        <v>799.15776776996847</v>
      </c>
      <c r="I584" s="42">
        <f t="shared" ca="1" si="48"/>
        <v>0</v>
      </c>
    </row>
    <row r="585" spans="5:9" x14ac:dyDescent="0.25">
      <c r="E585">
        <f t="shared" si="49"/>
        <v>575</v>
      </c>
      <c r="F585" s="39">
        <f t="shared" ca="1" si="45"/>
        <v>53.022108915825854</v>
      </c>
      <c r="G585" s="42">
        <f t="shared" ca="1" si="46"/>
        <v>1566.6411585589497</v>
      </c>
      <c r="H585" s="42">
        <f t="shared" ca="1" si="47"/>
        <v>1538.6411585589497</v>
      </c>
      <c r="I585" s="42">
        <f t="shared" ca="1" si="48"/>
        <v>0</v>
      </c>
    </row>
    <row r="586" spans="5:9" x14ac:dyDescent="0.25">
      <c r="E586">
        <f t="shared" si="49"/>
        <v>576</v>
      </c>
      <c r="F586" s="39">
        <f t="shared" ca="1" si="45"/>
        <v>9.2088288276455756</v>
      </c>
      <c r="G586" s="42">
        <f t="shared" ca="1" si="46"/>
        <v>296.05603600172168</v>
      </c>
      <c r="H586" s="42">
        <f t="shared" ca="1" si="47"/>
        <v>268.05603600172168</v>
      </c>
      <c r="I586" s="42">
        <f t="shared" ca="1" si="48"/>
        <v>0</v>
      </c>
    </row>
    <row r="587" spans="5:9" x14ac:dyDescent="0.25">
      <c r="E587">
        <f t="shared" si="49"/>
        <v>577</v>
      </c>
      <c r="F587" s="39">
        <f t="shared" ca="1" si="45"/>
        <v>51.780912816337953</v>
      </c>
      <c r="G587" s="42">
        <f t="shared" ca="1" si="46"/>
        <v>1530.6464716738005</v>
      </c>
      <c r="H587" s="42">
        <f t="shared" ca="1" si="47"/>
        <v>1502.6464716738005</v>
      </c>
      <c r="I587" s="42">
        <f t="shared" ca="1" si="48"/>
        <v>0</v>
      </c>
    </row>
    <row r="588" spans="5:9" x14ac:dyDescent="0.25">
      <c r="E588">
        <f t="shared" si="49"/>
        <v>578</v>
      </c>
      <c r="F588" s="39">
        <f t="shared" ref="F588:F651" ca="1" si="50">_xlfn.NORM.INV(RAND(),$E$45,$E$46)</f>
        <v>75.389172218339439</v>
      </c>
      <c r="G588" s="42">
        <f t="shared" ref="G588:G651" ca="1" si="51">$E$39*(1+F588)</f>
        <v>2215.2859943318435</v>
      </c>
      <c r="H588" s="42">
        <f t="shared" ref="H588:H651" ca="1" si="52">MAX(G588-$E$38)</f>
        <v>2187.2859943318435</v>
      </c>
      <c r="I588" s="42">
        <f t="shared" ref="I588:I651" ca="1" si="53">MAX($E$38-$H$43,0)</f>
        <v>0</v>
      </c>
    </row>
    <row r="589" spans="5:9" x14ac:dyDescent="0.25">
      <c r="E589">
        <f t="shared" ref="E589:E652" si="54">E588+1</f>
        <v>579</v>
      </c>
      <c r="F589" s="39">
        <f t="shared" ca="1" si="50"/>
        <v>16.405915831573189</v>
      </c>
      <c r="G589" s="42">
        <f t="shared" ca="1" si="51"/>
        <v>504.77155911562249</v>
      </c>
      <c r="H589" s="42">
        <f t="shared" ca="1" si="52"/>
        <v>476.77155911562249</v>
      </c>
      <c r="I589" s="42">
        <f t="shared" ca="1" si="53"/>
        <v>0</v>
      </c>
    </row>
    <row r="590" spans="5:9" x14ac:dyDescent="0.25">
      <c r="E590">
        <f t="shared" si="54"/>
        <v>580</v>
      </c>
      <c r="F590" s="39">
        <f t="shared" ca="1" si="50"/>
        <v>101.26573644114526</v>
      </c>
      <c r="G590" s="42">
        <f t="shared" ca="1" si="51"/>
        <v>2965.7063567932128</v>
      </c>
      <c r="H590" s="42">
        <f t="shared" ca="1" si="52"/>
        <v>2937.7063567932128</v>
      </c>
      <c r="I590" s="42">
        <f t="shared" ca="1" si="53"/>
        <v>0</v>
      </c>
    </row>
    <row r="591" spans="5:9" x14ac:dyDescent="0.25">
      <c r="E591">
        <f t="shared" si="54"/>
        <v>581</v>
      </c>
      <c r="F591" s="39">
        <f t="shared" ca="1" si="50"/>
        <v>28.560936429872626</v>
      </c>
      <c r="G591" s="42">
        <f t="shared" ca="1" si="51"/>
        <v>857.26715646630612</v>
      </c>
      <c r="H591" s="42">
        <f t="shared" ca="1" si="52"/>
        <v>829.26715646630612</v>
      </c>
      <c r="I591" s="42">
        <f t="shared" ca="1" si="53"/>
        <v>0</v>
      </c>
    </row>
    <row r="592" spans="5:9" x14ac:dyDescent="0.25">
      <c r="E592">
        <f t="shared" si="54"/>
        <v>582</v>
      </c>
      <c r="F592" s="39">
        <f t="shared" ca="1" si="50"/>
        <v>-31.815445376772828</v>
      </c>
      <c r="G592" s="42">
        <f t="shared" ca="1" si="51"/>
        <v>-893.647915926412</v>
      </c>
      <c r="H592" s="42">
        <f t="shared" ca="1" si="52"/>
        <v>-921.647915926412</v>
      </c>
      <c r="I592" s="42">
        <f t="shared" ca="1" si="53"/>
        <v>0</v>
      </c>
    </row>
    <row r="593" spans="5:9" x14ac:dyDescent="0.25">
      <c r="E593">
        <f t="shared" si="54"/>
        <v>583</v>
      </c>
      <c r="F593" s="39">
        <f t="shared" ca="1" si="50"/>
        <v>31.284144011203242</v>
      </c>
      <c r="G593" s="42">
        <f t="shared" ca="1" si="51"/>
        <v>936.24017632489392</v>
      </c>
      <c r="H593" s="42">
        <f t="shared" ca="1" si="52"/>
        <v>908.24017632489392</v>
      </c>
      <c r="I593" s="42">
        <f t="shared" ca="1" si="53"/>
        <v>0</v>
      </c>
    </row>
    <row r="594" spans="5:9" x14ac:dyDescent="0.25">
      <c r="E594">
        <f t="shared" si="54"/>
        <v>584</v>
      </c>
      <c r="F594" s="39">
        <f t="shared" ca="1" si="50"/>
        <v>27.942342430295668</v>
      </c>
      <c r="G594" s="42">
        <f t="shared" ca="1" si="51"/>
        <v>839.32793047857433</v>
      </c>
      <c r="H594" s="42">
        <f t="shared" ca="1" si="52"/>
        <v>811.32793047857433</v>
      </c>
      <c r="I594" s="42">
        <f t="shared" ca="1" si="53"/>
        <v>0</v>
      </c>
    </row>
    <row r="595" spans="5:9" x14ac:dyDescent="0.25">
      <c r="E595">
        <f t="shared" si="54"/>
        <v>585</v>
      </c>
      <c r="F595" s="39">
        <f t="shared" ca="1" si="50"/>
        <v>45.342893315279291</v>
      </c>
      <c r="G595" s="42">
        <f t="shared" ca="1" si="51"/>
        <v>1343.9439061430994</v>
      </c>
      <c r="H595" s="42">
        <f t="shared" ca="1" si="52"/>
        <v>1315.9439061430994</v>
      </c>
      <c r="I595" s="42">
        <f t="shared" ca="1" si="53"/>
        <v>0</v>
      </c>
    </row>
    <row r="596" spans="5:9" x14ac:dyDescent="0.25">
      <c r="E596">
        <f t="shared" si="54"/>
        <v>586</v>
      </c>
      <c r="F596" s="39">
        <f t="shared" ca="1" si="50"/>
        <v>19.386313654868928</v>
      </c>
      <c r="G596" s="42">
        <f t="shared" ca="1" si="51"/>
        <v>591.20309599119889</v>
      </c>
      <c r="H596" s="42">
        <f t="shared" ca="1" si="52"/>
        <v>563.20309599119889</v>
      </c>
      <c r="I596" s="42">
        <f t="shared" ca="1" si="53"/>
        <v>0</v>
      </c>
    </row>
    <row r="597" spans="5:9" x14ac:dyDescent="0.25">
      <c r="E597">
        <f t="shared" si="54"/>
        <v>587</v>
      </c>
      <c r="F597" s="39">
        <f t="shared" ca="1" si="50"/>
        <v>64.132172351312335</v>
      </c>
      <c r="G597" s="42">
        <f t="shared" ca="1" si="51"/>
        <v>1888.8329981880577</v>
      </c>
      <c r="H597" s="42">
        <f t="shared" ca="1" si="52"/>
        <v>1860.8329981880577</v>
      </c>
      <c r="I597" s="42">
        <f t="shared" ca="1" si="53"/>
        <v>0</v>
      </c>
    </row>
    <row r="598" spans="5:9" x14ac:dyDescent="0.25">
      <c r="E598">
        <f t="shared" si="54"/>
        <v>588</v>
      </c>
      <c r="F598" s="39">
        <f t="shared" ca="1" si="50"/>
        <v>24.748042571569599</v>
      </c>
      <c r="G598" s="42">
        <f t="shared" ca="1" si="51"/>
        <v>746.69323457551832</v>
      </c>
      <c r="H598" s="42">
        <f t="shared" ca="1" si="52"/>
        <v>718.69323457551832</v>
      </c>
      <c r="I598" s="42">
        <f t="shared" ca="1" si="53"/>
        <v>0</v>
      </c>
    </row>
    <row r="599" spans="5:9" x14ac:dyDescent="0.25">
      <c r="E599">
        <f t="shared" si="54"/>
        <v>589</v>
      </c>
      <c r="F599" s="39">
        <f t="shared" ca="1" si="50"/>
        <v>71.709552260362216</v>
      </c>
      <c r="G599" s="42">
        <f t="shared" ca="1" si="51"/>
        <v>2108.5770155505043</v>
      </c>
      <c r="H599" s="42">
        <f t="shared" ca="1" si="52"/>
        <v>2080.5770155505043</v>
      </c>
      <c r="I599" s="42">
        <f t="shared" ca="1" si="53"/>
        <v>0</v>
      </c>
    </row>
    <row r="600" spans="5:9" x14ac:dyDescent="0.25">
      <c r="E600">
        <f t="shared" si="54"/>
        <v>590</v>
      </c>
      <c r="F600" s="39">
        <f t="shared" ca="1" si="50"/>
        <v>79.152974284920148</v>
      </c>
      <c r="G600" s="42">
        <f t="shared" ca="1" si="51"/>
        <v>2324.4362542626841</v>
      </c>
      <c r="H600" s="42">
        <f t="shared" ca="1" si="52"/>
        <v>2296.4362542626841</v>
      </c>
      <c r="I600" s="42">
        <f t="shared" ca="1" si="53"/>
        <v>0</v>
      </c>
    </row>
    <row r="601" spans="5:9" x14ac:dyDescent="0.25">
      <c r="E601">
        <f t="shared" si="54"/>
        <v>591</v>
      </c>
      <c r="F601" s="39">
        <f t="shared" ca="1" si="50"/>
        <v>28.783949021644695</v>
      </c>
      <c r="G601" s="42">
        <f t="shared" ca="1" si="51"/>
        <v>863.73452162769615</v>
      </c>
      <c r="H601" s="42">
        <f t="shared" ca="1" si="52"/>
        <v>835.73452162769615</v>
      </c>
      <c r="I601" s="42">
        <f t="shared" ca="1" si="53"/>
        <v>0</v>
      </c>
    </row>
    <row r="602" spans="5:9" x14ac:dyDescent="0.25">
      <c r="E602">
        <f t="shared" si="54"/>
        <v>592</v>
      </c>
      <c r="F602" s="39">
        <f t="shared" ca="1" si="50"/>
        <v>17.878017557069171</v>
      </c>
      <c r="G602" s="42">
        <f t="shared" ca="1" si="51"/>
        <v>547.46250915500593</v>
      </c>
      <c r="H602" s="42">
        <f t="shared" ca="1" si="52"/>
        <v>519.46250915500593</v>
      </c>
      <c r="I602" s="42">
        <f t="shared" ca="1" si="53"/>
        <v>0</v>
      </c>
    </row>
    <row r="603" spans="5:9" x14ac:dyDescent="0.25">
      <c r="E603">
        <f t="shared" si="54"/>
        <v>593</v>
      </c>
      <c r="F603" s="39">
        <f t="shared" ca="1" si="50"/>
        <v>23.536979567591224</v>
      </c>
      <c r="G603" s="42">
        <f t="shared" ca="1" si="51"/>
        <v>711.57240746014554</v>
      </c>
      <c r="H603" s="42">
        <f t="shared" ca="1" si="52"/>
        <v>683.57240746014554</v>
      </c>
      <c r="I603" s="42">
        <f t="shared" ca="1" si="53"/>
        <v>0</v>
      </c>
    </row>
    <row r="604" spans="5:9" x14ac:dyDescent="0.25">
      <c r="E604">
        <f t="shared" si="54"/>
        <v>594</v>
      </c>
      <c r="F604" s="39">
        <f t="shared" ca="1" si="50"/>
        <v>44.935169557956058</v>
      </c>
      <c r="G604" s="42">
        <f t="shared" ca="1" si="51"/>
        <v>1332.1199171807257</v>
      </c>
      <c r="H604" s="42">
        <f t="shared" ca="1" si="52"/>
        <v>1304.1199171807257</v>
      </c>
      <c r="I604" s="42">
        <f t="shared" ca="1" si="53"/>
        <v>0</v>
      </c>
    </row>
    <row r="605" spans="5:9" x14ac:dyDescent="0.25">
      <c r="E605">
        <f t="shared" si="54"/>
        <v>595</v>
      </c>
      <c r="F605" s="39">
        <f t="shared" ca="1" si="50"/>
        <v>-1.9804207243036984</v>
      </c>
      <c r="G605" s="42">
        <f t="shared" ca="1" si="51"/>
        <v>-28.432201004807254</v>
      </c>
      <c r="H605" s="42">
        <f t="shared" ca="1" si="52"/>
        <v>-56.432201004807254</v>
      </c>
      <c r="I605" s="42">
        <f t="shared" ca="1" si="53"/>
        <v>0</v>
      </c>
    </row>
    <row r="606" spans="5:9" x14ac:dyDescent="0.25">
      <c r="E606">
        <f t="shared" si="54"/>
        <v>596</v>
      </c>
      <c r="F606" s="39">
        <f t="shared" ca="1" si="50"/>
        <v>49.585899314321182</v>
      </c>
      <c r="G606" s="42">
        <f t="shared" ca="1" si="51"/>
        <v>1466.9910801153142</v>
      </c>
      <c r="H606" s="42">
        <f t="shared" ca="1" si="52"/>
        <v>1438.9910801153142</v>
      </c>
      <c r="I606" s="42">
        <f t="shared" ca="1" si="53"/>
        <v>0</v>
      </c>
    </row>
    <row r="607" spans="5:9" x14ac:dyDescent="0.25">
      <c r="E607">
        <f t="shared" si="54"/>
        <v>597</v>
      </c>
      <c r="F607" s="39">
        <f t="shared" ca="1" si="50"/>
        <v>25.049230844844494</v>
      </c>
      <c r="G607" s="42">
        <f t="shared" ca="1" si="51"/>
        <v>755.42769450049036</v>
      </c>
      <c r="H607" s="42">
        <f t="shared" ca="1" si="52"/>
        <v>727.42769450049036</v>
      </c>
      <c r="I607" s="42">
        <f t="shared" ca="1" si="53"/>
        <v>0</v>
      </c>
    </row>
    <row r="608" spans="5:9" x14ac:dyDescent="0.25">
      <c r="E608">
        <f t="shared" si="54"/>
        <v>598</v>
      </c>
      <c r="F608" s="39">
        <f t="shared" ca="1" si="50"/>
        <v>66.787891056401051</v>
      </c>
      <c r="G608" s="42">
        <f t="shared" ca="1" si="51"/>
        <v>1965.8488406356305</v>
      </c>
      <c r="H608" s="42">
        <f t="shared" ca="1" si="52"/>
        <v>1937.8488406356305</v>
      </c>
      <c r="I608" s="42">
        <f t="shared" ca="1" si="53"/>
        <v>0</v>
      </c>
    </row>
    <row r="609" spans="5:9" x14ac:dyDescent="0.25">
      <c r="E609">
        <f t="shared" si="54"/>
        <v>599</v>
      </c>
      <c r="F609" s="39">
        <f t="shared" ca="1" si="50"/>
        <v>51.240849666531702</v>
      </c>
      <c r="G609" s="42">
        <f t="shared" ca="1" si="51"/>
        <v>1514.9846403294193</v>
      </c>
      <c r="H609" s="42">
        <f t="shared" ca="1" si="52"/>
        <v>1486.9846403294193</v>
      </c>
      <c r="I609" s="42">
        <f t="shared" ca="1" si="53"/>
        <v>0</v>
      </c>
    </row>
    <row r="610" spans="5:9" x14ac:dyDescent="0.25">
      <c r="E610">
        <f t="shared" si="54"/>
        <v>600</v>
      </c>
      <c r="F610" s="39">
        <f t="shared" ca="1" si="50"/>
        <v>61.010810552898526</v>
      </c>
      <c r="G610" s="42">
        <f t="shared" ca="1" si="51"/>
        <v>1798.3135060340574</v>
      </c>
      <c r="H610" s="42">
        <f t="shared" ca="1" si="52"/>
        <v>1770.3135060340574</v>
      </c>
      <c r="I610" s="42">
        <f t="shared" ca="1" si="53"/>
        <v>0</v>
      </c>
    </row>
    <row r="611" spans="5:9" x14ac:dyDescent="0.25">
      <c r="E611">
        <f t="shared" si="54"/>
        <v>601</v>
      </c>
      <c r="F611" s="39">
        <f t="shared" ca="1" si="50"/>
        <v>23.846431864534605</v>
      </c>
      <c r="G611" s="42">
        <f t="shared" ca="1" si="51"/>
        <v>720.54652407150354</v>
      </c>
      <c r="H611" s="42">
        <f t="shared" ca="1" si="52"/>
        <v>692.54652407150354</v>
      </c>
      <c r="I611" s="42">
        <f t="shared" ca="1" si="53"/>
        <v>0</v>
      </c>
    </row>
    <row r="612" spans="5:9" x14ac:dyDescent="0.25">
      <c r="E612">
        <f t="shared" si="54"/>
        <v>602</v>
      </c>
      <c r="F612" s="39">
        <f t="shared" ca="1" si="50"/>
        <v>23.76006812898494</v>
      </c>
      <c r="G612" s="42">
        <f t="shared" ca="1" si="51"/>
        <v>718.04197574056332</v>
      </c>
      <c r="H612" s="42">
        <f t="shared" ca="1" si="52"/>
        <v>690.04197574056332</v>
      </c>
      <c r="I612" s="42">
        <f t="shared" ca="1" si="53"/>
        <v>0</v>
      </c>
    </row>
    <row r="613" spans="5:9" x14ac:dyDescent="0.25">
      <c r="E613">
        <f t="shared" si="54"/>
        <v>603</v>
      </c>
      <c r="F613" s="39">
        <f t="shared" ca="1" si="50"/>
        <v>43.174255900680635</v>
      </c>
      <c r="G613" s="42">
        <f t="shared" ca="1" si="51"/>
        <v>1281.0534211197385</v>
      </c>
      <c r="H613" s="42">
        <f t="shared" ca="1" si="52"/>
        <v>1253.0534211197385</v>
      </c>
      <c r="I613" s="42">
        <f t="shared" ca="1" si="53"/>
        <v>0</v>
      </c>
    </row>
    <row r="614" spans="5:9" x14ac:dyDescent="0.25">
      <c r="E614">
        <f t="shared" si="54"/>
        <v>604</v>
      </c>
      <c r="F614" s="39">
        <f t="shared" ca="1" si="50"/>
        <v>61.940660146953441</v>
      </c>
      <c r="G614" s="42">
        <f t="shared" ca="1" si="51"/>
        <v>1825.2791442616499</v>
      </c>
      <c r="H614" s="42">
        <f t="shared" ca="1" si="52"/>
        <v>1797.2791442616499</v>
      </c>
      <c r="I614" s="42">
        <f t="shared" ca="1" si="53"/>
        <v>0</v>
      </c>
    </row>
    <row r="615" spans="5:9" x14ac:dyDescent="0.25">
      <c r="E615">
        <f t="shared" si="54"/>
        <v>605</v>
      </c>
      <c r="F615" s="39">
        <f t="shared" ca="1" si="50"/>
        <v>25.716065811109246</v>
      </c>
      <c r="G615" s="42">
        <f t="shared" ca="1" si="51"/>
        <v>774.76590852216816</v>
      </c>
      <c r="H615" s="42">
        <f t="shared" ca="1" si="52"/>
        <v>746.76590852216816</v>
      </c>
      <c r="I615" s="42">
        <f t="shared" ca="1" si="53"/>
        <v>0</v>
      </c>
    </row>
    <row r="616" spans="5:9" x14ac:dyDescent="0.25">
      <c r="E616">
        <f t="shared" si="54"/>
        <v>606</v>
      </c>
      <c r="F616" s="39">
        <f t="shared" ca="1" si="50"/>
        <v>-13.181213618850244</v>
      </c>
      <c r="G616" s="42">
        <f t="shared" ca="1" si="51"/>
        <v>-353.25519494665707</v>
      </c>
      <c r="H616" s="42">
        <f t="shared" ca="1" si="52"/>
        <v>-381.25519494665707</v>
      </c>
      <c r="I616" s="42">
        <f t="shared" ca="1" si="53"/>
        <v>0</v>
      </c>
    </row>
    <row r="617" spans="5:9" x14ac:dyDescent="0.25">
      <c r="E617">
        <f t="shared" si="54"/>
        <v>607</v>
      </c>
      <c r="F617" s="39">
        <f t="shared" ca="1" si="50"/>
        <v>38.196794840321942</v>
      </c>
      <c r="G617" s="42">
        <f t="shared" ca="1" si="51"/>
        <v>1136.7070503693362</v>
      </c>
      <c r="H617" s="42">
        <f t="shared" ca="1" si="52"/>
        <v>1108.7070503693362</v>
      </c>
      <c r="I617" s="42">
        <f t="shared" ca="1" si="53"/>
        <v>0</v>
      </c>
    </row>
    <row r="618" spans="5:9" x14ac:dyDescent="0.25">
      <c r="E618">
        <f t="shared" si="54"/>
        <v>608</v>
      </c>
      <c r="F618" s="39">
        <f t="shared" ca="1" si="50"/>
        <v>-26.342887472013892</v>
      </c>
      <c r="G618" s="42">
        <f t="shared" ca="1" si="51"/>
        <v>-734.94373668840285</v>
      </c>
      <c r="H618" s="42">
        <f t="shared" ca="1" si="52"/>
        <v>-762.94373668840285</v>
      </c>
      <c r="I618" s="42">
        <f t="shared" ca="1" si="53"/>
        <v>0</v>
      </c>
    </row>
    <row r="619" spans="5:9" x14ac:dyDescent="0.25">
      <c r="E619">
        <f t="shared" si="54"/>
        <v>609</v>
      </c>
      <c r="F619" s="39">
        <f t="shared" ca="1" si="50"/>
        <v>-22.059788479626334</v>
      </c>
      <c r="G619" s="42">
        <f t="shared" ca="1" si="51"/>
        <v>-610.73386590916368</v>
      </c>
      <c r="H619" s="42">
        <f t="shared" ca="1" si="52"/>
        <v>-638.73386590916368</v>
      </c>
      <c r="I619" s="42">
        <f t="shared" ca="1" si="53"/>
        <v>0</v>
      </c>
    </row>
    <row r="620" spans="5:9" x14ac:dyDescent="0.25">
      <c r="E620">
        <f t="shared" si="54"/>
        <v>610</v>
      </c>
      <c r="F620" s="39">
        <f t="shared" ca="1" si="50"/>
        <v>34.537051787666222</v>
      </c>
      <c r="G620" s="42">
        <f t="shared" ca="1" si="51"/>
        <v>1030.5745018423204</v>
      </c>
      <c r="H620" s="42">
        <f t="shared" ca="1" si="52"/>
        <v>1002.5745018423204</v>
      </c>
      <c r="I620" s="42">
        <f t="shared" ca="1" si="53"/>
        <v>0</v>
      </c>
    </row>
    <row r="621" spans="5:9" x14ac:dyDescent="0.25">
      <c r="E621">
        <f t="shared" si="54"/>
        <v>611</v>
      </c>
      <c r="F621" s="39">
        <f t="shared" ca="1" si="50"/>
        <v>46.633275828091158</v>
      </c>
      <c r="G621" s="42">
        <f t="shared" ca="1" si="51"/>
        <v>1381.3649990146437</v>
      </c>
      <c r="H621" s="42">
        <f t="shared" ca="1" si="52"/>
        <v>1353.3649990146437</v>
      </c>
      <c r="I621" s="42">
        <f t="shared" ca="1" si="53"/>
        <v>0</v>
      </c>
    </row>
    <row r="622" spans="5:9" x14ac:dyDescent="0.25">
      <c r="E622">
        <f t="shared" si="54"/>
        <v>612</v>
      </c>
      <c r="F622" s="39">
        <f t="shared" ca="1" si="50"/>
        <v>51.419515381886441</v>
      </c>
      <c r="G622" s="42">
        <f t="shared" ca="1" si="51"/>
        <v>1520.1659460747069</v>
      </c>
      <c r="H622" s="42">
        <f t="shared" ca="1" si="52"/>
        <v>1492.1659460747069</v>
      </c>
      <c r="I622" s="42">
        <f t="shared" ca="1" si="53"/>
        <v>0</v>
      </c>
    </row>
    <row r="623" spans="5:9" x14ac:dyDescent="0.25">
      <c r="E623">
        <f t="shared" si="54"/>
        <v>613</v>
      </c>
      <c r="F623" s="39">
        <f t="shared" ca="1" si="50"/>
        <v>33.703701986872318</v>
      </c>
      <c r="G623" s="42">
        <f t="shared" ca="1" si="51"/>
        <v>1006.4073576192973</v>
      </c>
      <c r="H623" s="42">
        <f t="shared" ca="1" si="52"/>
        <v>978.40735761929727</v>
      </c>
      <c r="I623" s="42">
        <f t="shared" ca="1" si="53"/>
        <v>0</v>
      </c>
    </row>
    <row r="624" spans="5:9" x14ac:dyDescent="0.25">
      <c r="E624">
        <f t="shared" si="54"/>
        <v>614</v>
      </c>
      <c r="F624" s="39">
        <f t="shared" ca="1" si="50"/>
        <v>58.541663327479469</v>
      </c>
      <c r="G624" s="42">
        <f t="shared" ca="1" si="51"/>
        <v>1726.7082364969046</v>
      </c>
      <c r="H624" s="42">
        <f t="shared" ca="1" si="52"/>
        <v>1698.7082364969046</v>
      </c>
      <c r="I624" s="42">
        <f t="shared" ca="1" si="53"/>
        <v>0</v>
      </c>
    </row>
    <row r="625" spans="5:9" x14ac:dyDescent="0.25">
      <c r="E625">
        <f t="shared" si="54"/>
        <v>615</v>
      </c>
      <c r="F625" s="39">
        <f t="shared" ca="1" si="50"/>
        <v>36.672472517280426</v>
      </c>
      <c r="G625" s="42">
        <f t="shared" ca="1" si="51"/>
        <v>1092.5017030011322</v>
      </c>
      <c r="H625" s="42">
        <f t="shared" ca="1" si="52"/>
        <v>1064.5017030011322</v>
      </c>
      <c r="I625" s="42">
        <f t="shared" ca="1" si="53"/>
        <v>0</v>
      </c>
    </row>
    <row r="626" spans="5:9" x14ac:dyDescent="0.25">
      <c r="E626">
        <f t="shared" si="54"/>
        <v>616</v>
      </c>
      <c r="F626" s="39">
        <f t="shared" ca="1" si="50"/>
        <v>29.368508357280447</v>
      </c>
      <c r="G626" s="42">
        <f t="shared" ca="1" si="51"/>
        <v>880.68674236113293</v>
      </c>
      <c r="H626" s="42">
        <f t="shared" ca="1" si="52"/>
        <v>852.68674236113293</v>
      </c>
      <c r="I626" s="42">
        <f t="shared" ca="1" si="53"/>
        <v>0</v>
      </c>
    </row>
    <row r="627" spans="5:9" x14ac:dyDescent="0.25">
      <c r="E627">
        <f t="shared" si="54"/>
        <v>617</v>
      </c>
      <c r="F627" s="39">
        <f t="shared" ca="1" si="50"/>
        <v>22.04742497880185</v>
      </c>
      <c r="G627" s="42">
        <f t="shared" ca="1" si="51"/>
        <v>668.37532438525363</v>
      </c>
      <c r="H627" s="42">
        <f t="shared" ca="1" si="52"/>
        <v>640.37532438525363</v>
      </c>
      <c r="I627" s="42">
        <f t="shared" ca="1" si="53"/>
        <v>0</v>
      </c>
    </row>
    <row r="628" spans="5:9" x14ac:dyDescent="0.25">
      <c r="E628">
        <f t="shared" si="54"/>
        <v>618</v>
      </c>
      <c r="F628" s="39">
        <f t="shared" ca="1" si="50"/>
        <v>-2.6095548748475395</v>
      </c>
      <c r="G628" s="42">
        <f t="shared" ca="1" si="51"/>
        <v>-46.677091370578644</v>
      </c>
      <c r="H628" s="42">
        <f t="shared" ca="1" si="52"/>
        <v>-74.677091370578637</v>
      </c>
      <c r="I628" s="42">
        <f t="shared" ca="1" si="53"/>
        <v>0</v>
      </c>
    </row>
    <row r="629" spans="5:9" x14ac:dyDescent="0.25">
      <c r="E629">
        <f t="shared" si="54"/>
        <v>619</v>
      </c>
      <c r="F629" s="39">
        <f t="shared" ca="1" si="50"/>
        <v>-12.013490040828628</v>
      </c>
      <c r="G629" s="42">
        <f t="shared" ca="1" si="51"/>
        <v>-319.39121118403023</v>
      </c>
      <c r="H629" s="42">
        <f t="shared" ca="1" si="52"/>
        <v>-347.39121118403023</v>
      </c>
      <c r="I629" s="42">
        <f t="shared" ca="1" si="53"/>
        <v>0</v>
      </c>
    </row>
    <row r="630" spans="5:9" x14ac:dyDescent="0.25">
      <c r="E630">
        <f t="shared" si="54"/>
        <v>620</v>
      </c>
      <c r="F630" s="39">
        <f t="shared" ca="1" si="50"/>
        <v>-24.526550103166713</v>
      </c>
      <c r="G630" s="42">
        <f t="shared" ca="1" si="51"/>
        <v>-682.26995299183466</v>
      </c>
      <c r="H630" s="42">
        <f t="shared" ca="1" si="52"/>
        <v>-710.26995299183466</v>
      </c>
      <c r="I630" s="42">
        <f t="shared" ca="1" si="53"/>
        <v>0</v>
      </c>
    </row>
    <row r="631" spans="5:9" x14ac:dyDescent="0.25">
      <c r="E631">
        <f t="shared" si="54"/>
        <v>621</v>
      </c>
      <c r="F631" s="39">
        <f t="shared" ca="1" si="50"/>
        <v>32.798237446984274</v>
      </c>
      <c r="G631" s="42">
        <f t="shared" ca="1" si="51"/>
        <v>980.148885962544</v>
      </c>
      <c r="H631" s="42">
        <f t="shared" ca="1" si="52"/>
        <v>952.148885962544</v>
      </c>
      <c r="I631" s="42">
        <f t="shared" ca="1" si="53"/>
        <v>0</v>
      </c>
    </row>
    <row r="632" spans="5:9" x14ac:dyDescent="0.25">
      <c r="E632">
        <f t="shared" si="54"/>
        <v>622</v>
      </c>
      <c r="F632" s="39">
        <f t="shared" ca="1" si="50"/>
        <v>46.060834456993504</v>
      </c>
      <c r="G632" s="42">
        <f t="shared" ca="1" si="51"/>
        <v>1364.7641992528115</v>
      </c>
      <c r="H632" s="42">
        <f t="shared" ca="1" si="52"/>
        <v>1336.7641992528115</v>
      </c>
      <c r="I632" s="42">
        <f t="shared" ca="1" si="53"/>
        <v>0</v>
      </c>
    </row>
    <row r="633" spans="5:9" x14ac:dyDescent="0.25">
      <c r="E633">
        <f t="shared" si="54"/>
        <v>623</v>
      </c>
      <c r="F633" s="39">
        <f t="shared" ca="1" si="50"/>
        <v>4.4602420388148332</v>
      </c>
      <c r="G633" s="42">
        <f t="shared" ca="1" si="51"/>
        <v>158.34701912563017</v>
      </c>
      <c r="H633" s="42">
        <f t="shared" ca="1" si="52"/>
        <v>130.34701912563017</v>
      </c>
      <c r="I633" s="42">
        <f t="shared" ca="1" si="53"/>
        <v>0</v>
      </c>
    </row>
    <row r="634" spans="5:9" x14ac:dyDescent="0.25">
      <c r="E634">
        <f t="shared" si="54"/>
        <v>624</v>
      </c>
      <c r="F634" s="39">
        <f t="shared" ca="1" si="50"/>
        <v>34.055451607618593</v>
      </c>
      <c r="G634" s="42">
        <f t="shared" ca="1" si="51"/>
        <v>1016.6080966209392</v>
      </c>
      <c r="H634" s="42">
        <f t="shared" ca="1" si="52"/>
        <v>988.60809662093925</v>
      </c>
      <c r="I634" s="42">
        <f t="shared" ca="1" si="53"/>
        <v>0</v>
      </c>
    </row>
    <row r="635" spans="5:9" x14ac:dyDescent="0.25">
      <c r="E635">
        <f t="shared" si="54"/>
        <v>625</v>
      </c>
      <c r="F635" s="39">
        <f t="shared" ca="1" si="50"/>
        <v>25.079959794920541</v>
      </c>
      <c r="G635" s="42">
        <f t="shared" ca="1" si="51"/>
        <v>756.31883405269571</v>
      </c>
      <c r="H635" s="42">
        <f t="shared" ca="1" si="52"/>
        <v>728.31883405269571</v>
      </c>
      <c r="I635" s="42">
        <f t="shared" ca="1" si="53"/>
        <v>0</v>
      </c>
    </row>
    <row r="636" spans="5:9" x14ac:dyDescent="0.25">
      <c r="E636">
        <f t="shared" si="54"/>
        <v>626</v>
      </c>
      <c r="F636" s="39">
        <f t="shared" ca="1" si="50"/>
        <v>29.647575300220623</v>
      </c>
      <c r="G636" s="42">
        <f t="shared" ca="1" si="51"/>
        <v>888.77968370639803</v>
      </c>
      <c r="H636" s="42">
        <f t="shared" ca="1" si="52"/>
        <v>860.77968370639803</v>
      </c>
      <c r="I636" s="42">
        <f t="shared" ca="1" si="53"/>
        <v>0</v>
      </c>
    </row>
    <row r="637" spans="5:9" x14ac:dyDescent="0.25">
      <c r="E637">
        <f t="shared" si="54"/>
        <v>627</v>
      </c>
      <c r="F637" s="39">
        <f t="shared" ca="1" si="50"/>
        <v>7.8457342268036143</v>
      </c>
      <c r="G637" s="42">
        <f t="shared" ca="1" si="51"/>
        <v>256.52629257730484</v>
      </c>
      <c r="H637" s="42">
        <f t="shared" ca="1" si="52"/>
        <v>228.52629257730484</v>
      </c>
      <c r="I637" s="42">
        <f t="shared" ca="1" si="53"/>
        <v>0</v>
      </c>
    </row>
    <row r="638" spans="5:9" x14ac:dyDescent="0.25">
      <c r="E638">
        <f t="shared" si="54"/>
        <v>628</v>
      </c>
      <c r="F638" s="39">
        <f t="shared" ca="1" si="50"/>
        <v>-39.395633221235457</v>
      </c>
      <c r="G638" s="42">
        <f t="shared" ca="1" si="51"/>
        <v>-1113.4733634158283</v>
      </c>
      <c r="H638" s="42">
        <f t="shared" ca="1" si="52"/>
        <v>-1141.4733634158283</v>
      </c>
      <c r="I638" s="42">
        <f t="shared" ca="1" si="53"/>
        <v>0</v>
      </c>
    </row>
    <row r="639" spans="5:9" x14ac:dyDescent="0.25">
      <c r="E639">
        <f t="shared" si="54"/>
        <v>629</v>
      </c>
      <c r="F639" s="39">
        <f t="shared" ca="1" si="50"/>
        <v>-8.1603251549614697</v>
      </c>
      <c r="G639" s="42">
        <f t="shared" ca="1" si="51"/>
        <v>-207.64942949388262</v>
      </c>
      <c r="H639" s="42">
        <f t="shared" ca="1" si="52"/>
        <v>-235.64942949388262</v>
      </c>
      <c r="I639" s="42">
        <f t="shared" ca="1" si="53"/>
        <v>0</v>
      </c>
    </row>
    <row r="640" spans="5:9" x14ac:dyDescent="0.25">
      <c r="E640">
        <f t="shared" si="54"/>
        <v>630</v>
      </c>
      <c r="F640" s="39">
        <f t="shared" ca="1" si="50"/>
        <v>52.478393275276723</v>
      </c>
      <c r="G640" s="42">
        <f t="shared" ca="1" si="51"/>
        <v>1550.873404983025</v>
      </c>
      <c r="H640" s="42">
        <f t="shared" ca="1" si="52"/>
        <v>1522.873404983025</v>
      </c>
      <c r="I640" s="42">
        <f t="shared" ca="1" si="53"/>
        <v>0</v>
      </c>
    </row>
    <row r="641" spans="5:9" x14ac:dyDescent="0.25">
      <c r="E641">
        <f t="shared" si="54"/>
        <v>631</v>
      </c>
      <c r="F641" s="39">
        <f t="shared" ca="1" si="50"/>
        <v>64.169084329718387</v>
      </c>
      <c r="G641" s="42">
        <f t="shared" ca="1" si="51"/>
        <v>1889.9034455618332</v>
      </c>
      <c r="H641" s="42">
        <f t="shared" ca="1" si="52"/>
        <v>1861.9034455618332</v>
      </c>
      <c r="I641" s="42">
        <f t="shared" ca="1" si="53"/>
        <v>0</v>
      </c>
    </row>
    <row r="642" spans="5:9" x14ac:dyDescent="0.25">
      <c r="E642">
        <f t="shared" si="54"/>
        <v>632</v>
      </c>
      <c r="F642" s="39">
        <f t="shared" ca="1" si="50"/>
        <v>74.370222888872064</v>
      </c>
      <c r="G642" s="42">
        <f t="shared" ca="1" si="51"/>
        <v>2185.7364637772898</v>
      </c>
      <c r="H642" s="42">
        <f t="shared" ca="1" si="52"/>
        <v>2157.7364637772898</v>
      </c>
      <c r="I642" s="42">
        <f t="shared" ca="1" si="53"/>
        <v>0</v>
      </c>
    </row>
    <row r="643" spans="5:9" x14ac:dyDescent="0.25">
      <c r="E643">
        <f t="shared" si="54"/>
        <v>633</v>
      </c>
      <c r="F643" s="39">
        <f t="shared" ca="1" si="50"/>
        <v>34.849621594250216</v>
      </c>
      <c r="G643" s="42">
        <f t="shared" ca="1" si="51"/>
        <v>1039.6390262332563</v>
      </c>
      <c r="H643" s="42">
        <f t="shared" ca="1" si="52"/>
        <v>1011.6390262332563</v>
      </c>
      <c r="I643" s="42">
        <f t="shared" ca="1" si="53"/>
        <v>0</v>
      </c>
    </row>
    <row r="644" spans="5:9" x14ac:dyDescent="0.25">
      <c r="E644">
        <f t="shared" si="54"/>
        <v>634</v>
      </c>
      <c r="F644" s="39">
        <f t="shared" ca="1" si="50"/>
        <v>102.08287529700054</v>
      </c>
      <c r="G644" s="42">
        <f t="shared" ca="1" si="51"/>
        <v>2989.4033836130156</v>
      </c>
      <c r="H644" s="42">
        <f t="shared" ca="1" si="52"/>
        <v>2961.4033836130156</v>
      </c>
      <c r="I644" s="42">
        <f t="shared" ca="1" si="53"/>
        <v>0</v>
      </c>
    </row>
    <row r="645" spans="5:9" x14ac:dyDescent="0.25">
      <c r="E645">
        <f t="shared" si="54"/>
        <v>635</v>
      </c>
      <c r="F645" s="39">
        <f t="shared" ca="1" si="50"/>
        <v>86.429918689783136</v>
      </c>
      <c r="G645" s="42">
        <f t="shared" ca="1" si="51"/>
        <v>2535.4676420037108</v>
      </c>
      <c r="H645" s="42">
        <f t="shared" ca="1" si="52"/>
        <v>2507.4676420037108</v>
      </c>
      <c r="I645" s="42">
        <f t="shared" ca="1" si="53"/>
        <v>0</v>
      </c>
    </row>
    <row r="646" spans="5:9" x14ac:dyDescent="0.25">
      <c r="E646">
        <f t="shared" si="54"/>
        <v>636</v>
      </c>
      <c r="F646" s="39">
        <f t="shared" ca="1" si="50"/>
        <v>67.455792725489687</v>
      </c>
      <c r="G646" s="42">
        <f t="shared" ca="1" si="51"/>
        <v>1985.2179890392008</v>
      </c>
      <c r="H646" s="42">
        <f t="shared" ca="1" si="52"/>
        <v>1957.2179890392008</v>
      </c>
      <c r="I646" s="42">
        <f t="shared" ca="1" si="53"/>
        <v>0</v>
      </c>
    </row>
    <row r="647" spans="5:9" x14ac:dyDescent="0.25">
      <c r="E647">
        <f t="shared" si="54"/>
        <v>637</v>
      </c>
      <c r="F647" s="39">
        <f t="shared" ca="1" si="50"/>
        <v>106.5820119461286</v>
      </c>
      <c r="G647" s="42">
        <f t="shared" ca="1" si="51"/>
        <v>3119.8783464377293</v>
      </c>
      <c r="H647" s="42">
        <f t="shared" ca="1" si="52"/>
        <v>3091.8783464377293</v>
      </c>
      <c r="I647" s="42">
        <f t="shared" ca="1" si="53"/>
        <v>0</v>
      </c>
    </row>
    <row r="648" spans="5:9" x14ac:dyDescent="0.25">
      <c r="E648">
        <f t="shared" si="54"/>
        <v>638</v>
      </c>
      <c r="F648" s="39">
        <f t="shared" ca="1" si="50"/>
        <v>-18.350078637009815</v>
      </c>
      <c r="G648" s="42">
        <f t="shared" ca="1" si="51"/>
        <v>-503.15228047328463</v>
      </c>
      <c r="H648" s="42">
        <f t="shared" ca="1" si="52"/>
        <v>-531.15228047328469</v>
      </c>
      <c r="I648" s="42">
        <f t="shared" ca="1" si="53"/>
        <v>0</v>
      </c>
    </row>
    <row r="649" spans="5:9" x14ac:dyDescent="0.25">
      <c r="E649">
        <f t="shared" si="54"/>
        <v>639</v>
      </c>
      <c r="F649" s="39">
        <f t="shared" ca="1" si="50"/>
        <v>20.957009329551614</v>
      </c>
      <c r="G649" s="42">
        <f t="shared" ca="1" si="51"/>
        <v>636.75327055699677</v>
      </c>
      <c r="H649" s="42">
        <f t="shared" ca="1" si="52"/>
        <v>608.75327055699677</v>
      </c>
      <c r="I649" s="42">
        <f t="shared" ca="1" si="53"/>
        <v>0</v>
      </c>
    </row>
    <row r="650" spans="5:9" x14ac:dyDescent="0.25">
      <c r="E650">
        <f t="shared" si="54"/>
        <v>640</v>
      </c>
      <c r="F650" s="39">
        <f t="shared" ca="1" si="50"/>
        <v>11.005498942102328</v>
      </c>
      <c r="G650" s="42">
        <f t="shared" ca="1" si="51"/>
        <v>348.1594693209675</v>
      </c>
      <c r="H650" s="42">
        <f t="shared" ca="1" si="52"/>
        <v>320.1594693209675</v>
      </c>
      <c r="I650" s="42">
        <f t="shared" ca="1" si="53"/>
        <v>0</v>
      </c>
    </row>
    <row r="651" spans="5:9" x14ac:dyDescent="0.25">
      <c r="E651">
        <f t="shared" si="54"/>
        <v>641</v>
      </c>
      <c r="F651" s="39">
        <f t="shared" ca="1" si="50"/>
        <v>35.329188505803273</v>
      </c>
      <c r="G651" s="42">
        <f t="shared" ca="1" si="51"/>
        <v>1053.5464666682949</v>
      </c>
      <c r="H651" s="42">
        <f t="shared" ca="1" si="52"/>
        <v>1025.5464666682949</v>
      </c>
      <c r="I651" s="42">
        <f t="shared" ca="1" si="53"/>
        <v>0</v>
      </c>
    </row>
    <row r="652" spans="5:9" x14ac:dyDescent="0.25">
      <c r="E652">
        <f t="shared" si="54"/>
        <v>642</v>
      </c>
      <c r="F652" s="39">
        <f t="shared" ref="F652:F715" ca="1" si="55">_xlfn.NORM.INV(RAND(),$E$45,$E$46)</f>
        <v>11.96287573575578</v>
      </c>
      <c r="G652" s="42">
        <f t="shared" ref="G652:G715" ca="1" si="56">$E$39*(1+F652)</f>
        <v>375.92339633691762</v>
      </c>
      <c r="H652" s="42">
        <f t="shared" ref="H652:H715" ca="1" si="57">MAX(G652-$E$38)</f>
        <v>347.92339633691762</v>
      </c>
      <c r="I652" s="42">
        <f t="shared" ref="I652:I715" ca="1" si="58">MAX($E$38-$H$43,0)</f>
        <v>0</v>
      </c>
    </row>
    <row r="653" spans="5:9" x14ac:dyDescent="0.25">
      <c r="E653">
        <f t="shared" ref="E653:E716" si="59">E652+1</f>
        <v>643</v>
      </c>
      <c r="F653" s="39">
        <f t="shared" ca="1" si="55"/>
        <v>15.104150858785125</v>
      </c>
      <c r="G653" s="42">
        <f t="shared" ca="1" si="56"/>
        <v>467.02037490476863</v>
      </c>
      <c r="H653" s="42">
        <f t="shared" ca="1" si="57"/>
        <v>439.02037490476863</v>
      </c>
      <c r="I653" s="42">
        <f t="shared" ca="1" si="58"/>
        <v>0</v>
      </c>
    </row>
    <row r="654" spans="5:9" x14ac:dyDescent="0.25">
      <c r="E654">
        <f t="shared" si="59"/>
        <v>644</v>
      </c>
      <c r="F654" s="39">
        <f t="shared" ca="1" si="55"/>
        <v>59.30393927901396</v>
      </c>
      <c r="G654" s="42">
        <f t="shared" ca="1" si="56"/>
        <v>1748.8142390914049</v>
      </c>
      <c r="H654" s="42">
        <f t="shared" ca="1" si="57"/>
        <v>1720.8142390914049</v>
      </c>
      <c r="I654" s="42">
        <f t="shared" ca="1" si="58"/>
        <v>0</v>
      </c>
    </row>
    <row r="655" spans="5:9" x14ac:dyDescent="0.25">
      <c r="E655">
        <f t="shared" si="59"/>
        <v>645</v>
      </c>
      <c r="F655" s="39">
        <f t="shared" ca="1" si="55"/>
        <v>88.117671156990895</v>
      </c>
      <c r="G655" s="42">
        <f t="shared" ca="1" si="56"/>
        <v>2584.412463552736</v>
      </c>
      <c r="H655" s="42">
        <f t="shared" ca="1" si="57"/>
        <v>2556.412463552736</v>
      </c>
      <c r="I655" s="42">
        <f t="shared" ca="1" si="58"/>
        <v>0</v>
      </c>
    </row>
    <row r="656" spans="5:9" x14ac:dyDescent="0.25">
      <c r="E656">
        <f t="shared" si="59"/>
        <v>646</v>
      </c>
      <c r="F656" s="39">
        <f t="shared" ca="1" si="55"/>
        <v>48.394208201205579</v>
      </c>
      <c r="G656" s="42">
        <f t="shared" ca="1" si="56"/>
        <v>1432.4320378349619</v>
      </c>
      <c r="H656" s="42">
        <f t="shared" ca="1" si="57"/>
        <v>1404.4320378349619</v>
      </c>
      <c r="I656" s="42">
        <f t="shared" ca="1" si="58"/>
        <v>0</v>
      </c>
    </row>
    <row r="657" spans="5:9" x14ac:dyDescent="0.25">
      <c r="E657">
        <f t="shared" si="59"/>
        <v>647</v>
      </c>
      <c r="F657" s="39">
        <f t="shared" ca="1" si="55"/>
        <v>92.748843725597752</v>
      </c>
      <c r="G657" s="42">
        <f t="shared" ca="1" si="56"/>
        <v>2718.7164680423348</v>
      </c>
      <c r="H657" s="42">
        <f t="shared" ca="1" si="57"/>
        <v>2690.7164680423348</v>
      </c>
      <c r="I657" s="42">
        <f t="shared" ca="1" si="58"/>
        <v>0</v>
      </c>
    </row>
    <row r="658" spans="5:9" x14ac:dyDescent="0.25">
      <c r="E658">
        <f t="shared" si="59"/>
        <v>648</v>
      </c>
      <c r="F658" s="39">
        <f t="shared" ca="1" si="55"/>
        <v>59.21177691623366</v>
      </c>
      <c r="G658" s="42">
        <f t="shared" ca="1" si="56"/>
        <v>1746.1415305707762</v>
      </c>
      <c r="H658" s="42">
        <f t="shared" ca="1" si="57"/>
        <v>1718.1415305707762</v>
      </c>
      <c r="I658" s="42">
        <f t="shared" ca="1" si="58"/>
        <v>0</v>
      </c>
    </row>
    <row r="659" spans="5:9" x14ac:dyDescent="0.25">
      <c r="E659">
        <f t="shared" si="59"/>
        <v>649</v>
      </c>
      <c r="F659" s="39">
        <f t="shared" ca="1" si="55"/>
        <v>21.742551579545825</v>
      </c>
      <c r="G659" s="42">
        <f t="shared" ca="1" si="56"/>
        <v>659.5339958068289</v>
      </c>
      <c r="H659" s="42">
        <f t="shared" ca="1" si="57"/>
        <v>631.5339958068289</v>
      </c>
      <c r="I659" s="42">
        <f t="shared" ca="1" si="58"/>
        <v>0</v>
      </c>
    </row>
    <row r="660" spans="5:9" x14ac:dyDescent="0.25">
      <c r="E660">
        <f t="shared" si="59"/>
        <v>650</v>
      </c>
      <c r="F660" s="39">
        <f t="shared" ca="1" si="55"/>
        <v>-4.3877041836431374E-2</v>
      </c>
      <c r="G660" s="42">
        <f t="shared" ca="1" si="56"/>
        <v>27.72756578674349</v>
      </c>
      <c r="H660" s="42">
        <f t="shared" ca="1" si="57"/>
        <v>-0.27243421325650985</v>
      </c>
      <c r="I660" s="42">
        <f t="shared" ca="1" si="58"/>
        <v>0</v>
      </c>
    </row>
    <row r="661" spans="5:9" x14ac:dyDescent="0.25">
      <c r="E661">
        <f t="shared" si="59"/>
        <v>651</v>
      </c>
      <c r="F661" s="39">
        <f t="shared" ca="1" si="55"/>
        <v>-4.5311227643100054</v>
      </c>
      <c r="G661" s="42">
        <f t="shared" ca="1" si="56"/>
        <v>-102.40256016499015</v>
      </c>
      <c r="H661" s="42">
        <f t="shared" ca="1" si="57"/>
        <v>-130.40256016499015</v>
      </c>
      <c r="I661" s="42">
        <f t="shared" ca="1" si="58"/>
        <v>0</v>
      </c>
    </row>
    <row r="662" spans="5:9" x14ac:dyDescent="0.25">
      <c r="E662">
        <f t="shared" si="59"/>
        <v>652</v>
      </c>
      <c r="F662" s="39">
        <f t="shared" ca="1" si="55"/>
        <v>-20.895621168124137</v>
      </c>
      <c r="G662" s="42">
        <f t="shared" ca="1" si="56"/>
        <v>-576.97301387559992</v>
      </c>
      <c r="H662" s="42">
        <f t="shared" ca="1" si="57"/>
        <v>-604.97301387559992</v>
      </c>
      <c r="I662" s="42">
        <f t="shared" ca="1" si="58"/>
        <v>0</v>
      </c>
    </row>
    <row r="663" spans="5:9" x14ac:dyDescent="0.25">
      <c r="E663">
        <f t="shared" si="59"/>
        <v>653</v>
      </c>
      <c r="F663" s="39">
        <f t="shared" ca="1" si="55"/>
        <v>30.000288019936988</v>
      </c>
      <c r="G663" s="42">
        <f t="shared" ca="1" si="56"/>
        <v>899.00835257817266</v>
      </c>
      <c r="H663" s="42">
        <f t="shared" ca="1" si="57"/>
        <v>871.00835257817266</v>
      </c>
      <c r="I663" s="42">
        <f t="shared" ca="1" si="58"/>
        <v>0</v>
      </c>
    </row>
    <row r="664" spans="5:9" x14ac:dyDescent="0.25">
      <c r="E664">
        <f t="shared" si="59"/>
        <v>654</v>
      </c>
      <c r="F664" s="39">
        <f t="shared" ca="1" si="55"/>
        <v>39.698513626119095</v>
      </c>
      <c r="G664" s="42">
        <f t="shared" ca="1" si="56"/>
        <v>1180.2568951574538</v>
      </c>
      <c r="H664" s="42">
        <f t="shared" ca="1" si="57"/>
        <v>1152.2568951574538</v>
      </c>
      <c r="I664" s="42">
        <f t="shared" ca="1" si="58"/>
        <v>0</v>
      </c>
    </row>
    <row r="665" spans="5:9" x14ac:dyDescent="0.25">
      <c r="E665">
        <f t="shared" si="59"/>
        <v>655</v>
      </c>
      <c r="F665" s="39">
        <f t="shared" ca="1" si="55"/>
        <v>26.587625397022421</v>
      </c>
      <c r="G665" s="42">
        <f t="shared" ca="1" si="56"/>
        <v>800.04113651365026</v>
      </c>
      <c r="H665" s="42">
        <f t="shared" ca="1" si="57"/>
        <v>772.04113651365026</v>
      </c>
      <c r="I665" s="42">
        <f t="shared" ca="1" si="58"/>
        <v>0</v>
      </c>
    </row>
    <row r="666" spans="5:9" x14ac:dyDescent="0.25">
      <c r="E666">
        <f t="shared" si="59"/>
        <v>656</v>
      </c>
      <c r="F666" s="39">
        <f t="shared" ca="1" si="55"/>
        <v>-0.40061824813139424</v>
      </c>
      <c r="G666" s="42">
        <f t="shared" ca="1" si="56"/>
        <v>17.382070804189567</v>
      </c>
      <c r="H666" s="42">
        <f t="shared" ca="1" si="57"/>
        <v>-10.617929195810433</v>
      </c>
      <c r="I666" s="42">
        <f t="shared" ca="1" si="58"/>
        <v>0</v>
      </c>
    </row>
    <row r="667" spans="5:9" x14ac:dyDescent="0.25">
      <c r="E667">
        <f t="shared" si="59"/>
        <v>657</v>
      </c>
      <c r="F667" s="39">
        <f t="shared" ca="1" si="55"/>
        <v>-5.3332012461276719</v>
      </c>
      <c r="G667" s="42">
        <f t="shared" ca="1" si="56"/>
        <v>-125.66283613770248</v>
      </c>
      <c r="H667" s="42">
        <f t="shared" ca="1" si="57"/>
        <v>-153.66283613770247</v>
      </c>
      <c r="I667" s="42">
        <f t="shared" ca="1" si="58"/>
        <v>0</v>
      </c>
    </row>
    <row r="668" spans="5:9" x14ac:dyDescent="0.25">
      <c r="E668">
        <f t="shared" si="59"/>
        <v>658</v>
      </c>
      <c r="F668" s="39">
        <f t="shared" ca="1" si="55"/>
        <v>44.394203403226996</v>
      </c>
      <c r="G668" s="42">
        <f t="shared" ca="1" si="56"/>
        <v>1316.431898693583</v>
      </c>
      <c r="H668" s="42">
        <f t="shared" ca="1" si="57"/>
        <v>1288.431898693583</v>
      </c>
      <c r="I668" s="42">
        <f t="shared" ca="1" si="58"/>
        <v>0</v>
      </c>
    </row>
    <row r="669" spans="5:9" x14ac:dyDescent="0.25">
      <c r="E669">
        <f t="shared" si="59"/>
        <v>659</v>
      </c>
      <c r="F669" s="39">
        <f t="shared" ca="1" si="55"/>
        <v>36.041649837274925</v>
      </c>
      <c r="G669" s="42">
        <f t="shared" ca="1" si="56"/>
        <v>1074.2078452809728</v>
      </c>
      <c r="H669" s="42">
        <f t="shared" ca="1" si="57"/>
        <v>1046.2078452809728</v>
      </c>
      <c r="I669" s="42">
        <f t="shared" ca="1" si="58"/>
        <v>0</v>
      </c>
    </row>
    <row r="670" spans="5:9" x14ac:dyDescent="0.25">
      <c r="E670">
        <f t="shared" si="59"/>
        <v>660</v>
      </c>
      <c r="F670" s="39">
        <f t="shared" ca="1" si="55"/>
        <v>64.95948475914075</v>
      </c>
      <c r="G670" s="42">
        <f t="shared" ca="1" si="56"/>
        <v>1912.8250580150818</v>
      </c>
      <c r="H670" s="42">
        <f t="shared" ca="1" si="57"/>
        <v>1884.8250580150818</v>
      </c>
      <c r="I670" s="42">
        <f t="shared" ca="1" si="58"/>
        <v>0</v>
      </c>
    </row>
    <row r="671" spans="5:9" x14ac:dyDescent="0.25">
      <c r="E671">
        <f t="shared" si="59"/>
        <v>661</v>
      </c>
      <c r="F671" s="39">
        <f t="shared" ca="1" si="55"/>
        <v>47.102347743974917</v>
      </c>
      <c r="G671" s="42">
        <f t="shared" ca="1" si="56"/>
        <v>1394.9680845752725</v>
      </c>
      <c r="H671" s="42">
        <f t="shared" ca="1" si="57"/>
        <v>1366.9680845752725</v>
      </c>
      <c r="I671" s="42">
        <f t="shared" ca="1" si="58"/>
        <v>0</v>
      </c>
    </row>
    <row r="672" spans="5:9" x14ac:dyDescent="0.25">
      <c r="E672">
        <f t="shared" si="59"/>
        <v>662</v>
      </c>
      <c r="F672" s="39">
        <f t="shared" ca="1" si="55"/>
        <v>44.856992503612005</v>
      </c>
      <c r="G672" s="42">
        <f t="shared" ca="1" si="56"/>
        <v>1329.8527826047482</v>
      </c>
      <c r="H672" s="42">
        <f t="shared" ca="1" si="57"/>
        <v>1301.8527826047482</v>
      </c>
      <c r="I672" s="42">
        <f t="shared" ca="1" si="58"/>
        <v>0</v>
      </c>
    </row>
    <row r="673" spans="5:9" x14ac:dyDescent="0.25">
      <c r="E673">
        <f t="shared" si="59"/>
        <v>663</v>
      </c>
      <c r="F673" s="39">
        <f t="shared" ca="1" si="55"/>
        <v>63.051666940660773</v>
      </c>
      <c r="G673" s="42">
        <f t="shared" ca="1" si="56"/>
        <v>1857.4983412791621</v>
      </c>
      <c r="H673" s="42">
        <f t="shared" ca="1" si="57"/>
        <v>1829.4983412791621</v>
      </c>
      <c r="I673" s="42">
        <f t="shared" ca="1" si="58"/>
        <v>0</v>
      </c>
    </row>
    <row r="674" spans="5:9" x14ac:dyDescent="0.25">
      <c r="E674">
        <f t="shared" si="59"/>
        <v>664</v>
      </c>
      <c r="F674" s="39">
        <f t="shared" ca="1" si="55"/>
        <v>-57.28415883472077</v>
      </c>
      <c r="G674" s="42">
        <f t="shared" ca="1" si="56"/>
        <v>-1632.2406062069024</v>
      </c>
      <c r="H674" s="42">
        <f t="shared" ca="1" si="57"/>
        <v>-1660.2406062069024</v>
      </c>
      <c r="I674" s="42">
        <f t="shared" ca="1" si="58"/>
        <v>0</v>
      </c>
    </row>
    <row r="675" spans="5:9" x14ac:dyDescent="0.25">
      <c r="E675">
        <f t="shared" si="59"/>
        <v>665</v>
      </c>
      <c r="F675" s="39">
        <f t="shared" ca="1" si="55"/>
        <v>32.319165349070985</v>
      </c>
      <c r="G675" s="42">
        <f t="shared" ca="1" si="56"/>
        <v>966.25579512305853</v>
      </c>
      <c r="H675" s="42">
        <f t="shared" ca="1" si="57"/>
        <v>938.25579512305853</v>
      </c>
      <c r="I675" s="42">
        <f t="shared" ca="1" si="58"/>
        <v>0</v>
      </c>
    </row>
    <row r="676" spans="5:9" x14ac:dyDescent="0.25">
      <c r="E676">
        <f t="shared" si="59"/>
        <v>666</v>
      </c>
      <c r="F676" s="39">
        <f t="shared" ca="1" si="55"/>
        <v>49.595223576512232</v>
      </c>
      <c r="G676" s="42">
        <f t="shared" ca="1" si="56"/>
        <v>1467.2614837188548</v>
      </c>
      <c r="H676" s="42">
        <f t="shared" ca="1" si="57"/>
        <v>1439.2614837188548</v>
      </c>
      <c r="I676" s="42">
        <f t="shared" ca="1" si="58"/>
        <v>0</v>
      </c>
    </row>
    <row r="677" spans="5:9" x14ac:dyDescent="0.25">
      <c r="E677">
        <f t="shared" si="59"/>
        <v>667</v>
      </c>
      <c r="F677" s="39">
        <f t="shared" ca="1" si="55"/>
        <v>8.2780796084267187</v>
      </c>
      <c r="G677" s="42">
        <f t="shared" ca="1" si="56"/>
        <v>269.06430864437482</v>
      </c>
      <c r="H677" s="42">
        <f t="shared" ca="1" si="57"/>
        <v>241.06430864437482</v>
      </c>
      <c r="I677" s="42">
        <f t="shared" ca="1" si="58"/>
        <v>0</v>
      </c>
    </row>
    <row r="678" spans="5:9" x14ac:dyDescent="0.25">
      <c r="E678">
        <f t="shared" si="59"/>
        <v>668</v>
      </c>
      <c r="F678" s="39">
        <f t="shared" ca="1" si="55"/>
        <v>76.523948618338366</v>
      </c>
      <c r="G678" s="42">
        <f t="shared" ca="1" si="56"/>
        <v>2248.1945099318127</v>
      </c>
      <c r="H678" s="42">
        <f t="shared" ca="1" si="57"/>
        <v>2220.1945099318127</v>
      </c>
      <c r="I678" s="42">
        <f t="shared" ca="1" si="58"/>
        <v>0</v>
      </c>
    </row>
    <row r="679" spans="5:9" x14ac:dyDescent="0.25">
      <c r="E679">
        <f t="shared" si="59"/>
        <v>669</v>
      </c>
      <c r="F679" s="39">
        <f t="shared" ca="1" si="55"/>
        <v>23.484855848297578</v>
      </c>
      <c r="G679" s="42">
        <f t="shared" ca="1" si="56"/>
        <v>710.06081960062977</v>
      </c>
      <c r="H679" s="42">
        <f t="shared" ca="1" si="57"/>
        <v>682.06081960062977</v>
      </c>
      <c r="I679" s="42">
        <f t="shared" ca="1" si="58"/>
        <v>0</v>
      </c>
    </row>
    <row r="680" spans="5:9" x14ac:dyDescent="0.25">
      <c r="E680">
        <f t="shared" si="59"/>
        <v>670</v>
      </c>
      <c r="F680" s="39">
        <f t="shared" ca="1" si="55"/>
        <v>11.312577200946727</v>
      </c>
      <c r="G680" s="42">
        <f t="shared" ca="1" si="56"/>
        <v>357.06473882745507</v>
      </c>
      <c r="H680" s="42">
        <f t="shared" ca="1" si="57"/>
        <v>329.06473882745507</v>
      </c>
      <c r="I680" s="42">
        <f t="shared" ca="1" si="58"/>
        <v>0</v>
      </c>
    </row>
    <row r="681" spans="5:9" x14ac:dyDescent="0.25">
      <c r="E681">
        <f t="shared" si="59"/>
        <v>671</v>
      </c>
      <c r="F681" s="39">
        <f t="shared" ca="1" si="55"/>
        <v>-3.8469246676727309</v>
      </c>
      <c r="G681" s="42">
        <f t="shared" ca="1" si="56"/>
        <v>-82.560815362509203</v>
      </c>
      <c r="H681" s="42">
        <f t="shared" ca="1" si="57"/>
        <v>-110.5608153625092</v>
      </c>
      <c r="I681" s="42">
        <f t="shared" ca="1" si="58"/>
        <v>0</v>
      </c>
    </row>
    <row r="682" spans="5:9" x14ac:dyDescent="0.25">
      <c r="E682">
        <f t="shared" si="59"/>
        <v>672</v>
      </c>
      <c r="F682" s="39">
        <f t="shared" ca="1" si="55"/>
        <v>22.835491268976572</v>
      </c>
      <c r="G682" s="42">
        <f t="shared" ca="1" si="56"/>
        <v>691.22924680032054</v>
      </c>
      <c r="H682" s="42">
        <f t="shared" ca="1" si="57"/>
        <v>663.22924680032054</v>
      </c>
      <c r="I682" s="42">
        <f t="shared" ca="1" si="58"/>
        <v>0</v>
      </c>
    </row>
    <row r="683" spans="5:9" x14ac:dyDescent="0.25">
      <c r="E683">
        <f t="shared" si="59"/>
        <v>673</v>
      </c>
      <c r="F683" s="39">
        <f t="shared" ca="1" si="55"/>
        <v>17.383762846157097</v>
      </c>
      <c r="G683" s="42">
        <f t="shared" ca="1" si="56"/>
        <v>533.12912253855586</v>
      </c>
      <c r="H683" s="42">
        <f t="shared" ca="1" si="57"/>
        <v>505.12912253855586</v>
      </c>
      <c r="I683" s="42">
        <f t="shared" ca="1" si="58"/>
        <v>0</v>
      </c>
    </row>
    <row r="684" spans="5:9" x14ac:dyDescent="0.25">
      <c r="E684">
        <f t="shared" si="59"/>
        <v>674</v>
      </c>
      <c r="F684" s="39">
        <f t="shared" ca="1" si="55"/>
        <v>44.387165731997555</v>
      </c>
      <c r="G684" s="42">
        <f t="shared" ca="1" si="56"/>
        <v>1316.227806227929</v>
      </c>
      <c r="H684" s="42">
        <f t="shared" ca="1" si="57"/>
        <v>1288.227806227929</v>
      </c>
      <c r="I684" s="42">
        <f t="shared" ca="1" si="58"/>
        <v>0</v>
      </c>
    </row>
    <row r="685" spans="5:9" x14ac:dyDescent="0.25">
      <c r="E685">
        <f t="shared" si="59"/>
        <v>675</v>
      </c>
      <c r="F685" s="39">
        <f t="shared" ca="1" si="55"/>
        <v>114.34921583179103</v>
      </c>
      <c r="G685" s="42">
        <f t="shared" ca="1" si="56"/>
        <v>3345.1272591219399</v>
      </c>
      <c r="H685" s="42">
        <f t="shared" ca="1" si="57"/>
        <v>3317.1272591219399</v>
      </c>
      <c r="I685" s="42">
        <f t="shared" ca="1" si="58"/>
        <v>0</v>
      </c>
    </row>
    <row r="686" spans="5:9" x14ac:dyDescent="0.25">
      <c r="E686">
        <f t="shared" si="59"/>
        <v>676</v>
      </c>
      <c r="F686" s="39">
        <f t="shared" ca="1" si="55"/>
        <v>-41.81535264689289</v>
      </c>
      <c r="G686" s="42">
        <f t="shared" ca="1" si="56"/>
        <v>-1183.6452267598938</v>
      </c>
      <c r="H686" s="42">
        <f t="shared" ca="1" si="57"/>
        <v>-1211.6452267598938</v>
      </c>
      <c r="I686" s="42">
        <f t="shared" ca="1" si="58"/>
        <v>0</v>
      </c>
    </row>
    <row r="687" spans="5:9" x14ac:dyDescent="0.25">
      <c r="E687">
        <f t="shared" si="59"/>
        <v>677</v>
      </c>
      <c r="F687" s="39">
        <f t="shared" ca="1" si="55"/>
        <v>75.245874649697441</v>
      </c>
      <c r="G687" s="42">
        <f t="shared" ca="1" si="56"/>
        <v>2211.1303648412259</v>
      </c>
      <c r="H687" s="42">
        <f t="shared" ca="1" si="57"/>
        <v>2183.1303648412259</v>
      </c>
      <c r="I687" s="42">
        <f t="shared" ca="1" si="58"/>
        <v>0</v>
      </c>
    </row>
    <row r="688" spans="5:9" x14ac:dyDescent="0.25">
      <c r="E688">
        <f t="shared" si="59"/>
        <v>678</v>
      </c>
      <c r="F688" s="39">
        <f t="shared" ca="1" si="55"/>
        <v>-32.937108120229581</v>
      </c>
      <c r="G688" s="42">
        <f t="shared" ca="1" si="56"/>
        <v>-926.17613548665781</v>
      </c>
      <c r="H688" s="42">
        <f t="shared" ca="1" si="57"/>
        <v>-954.17613548665781</v>
      </c>
      <c r="I688" s="42">
        <f t="shared" ca="1" si="58"/>
        <v>0</v>
      </c>
    </row>
    <row r="689" spans="5:9" x14ac:dyDescent="0.25">
      <c r="E689">
        <f t="shared" si="59"/>
        <v>679</v>
      </c>
      <c r="F689" s="39">
        <f t="shared" ca="1" si="55"/>
        <v>-4.4097024908069926</v>
      </c>
      <c r="G689" s="42">
        <f t="shared" ca="1" si="56"/>
        <v>-98.881372233402786</v>
      </c>
      <c r="H689" s="42">
        <f t="shared" ca="1" si="57"/>
        <v>-126.88137223340279</v>
      </c>
      <c r="I689" s="42">
        <f t="shared" ca="1" si="58"/>
        <v>0</v>
      </c>
    </row>
    <row r="690" spans="5:9" x14ac:dyDescent="0.25">
      <c r="E690">
        <f t="shared" si="59"/>
        <v>680</v>
      </c>
      <c r="F690" s="39">
        <f t="shared" ca="1" si="55"/>
        <v>100.7344791914486</v>
      </c>
      <c r="G690" s="42">
        <f t="shared" ca="1" si="56"/>
        <v>2950.2998965520092</v>
      </c>
      <c r="H690" s="42">
        <f t="shared" ca="1" si="57"/>
        <v>2922.2998965520092</v>
      </c>
      <c r="I690" s="42">
        <f t="shared" ca="1" si="58"/>
        <v>0</v>
      </c>
    </row>
    <row r="691" spans="5:9" x14ac:dyDescent="0.25">
      <c r="E691">
        <f t="shared" si="59"/>
        <v>681</v>
      </c>
      <c r="F691" s="39">
        <f t="shared" ca="1" si="55"/>
        <v>12.901029243747455</v>
      </c>
      <c r="G691" s="42">
        <f t="shared" ca="1" si="56"/>
        <v>403.12984806867621</v>
      </c>
      <c r="H691" s="42">
        <f t="shared" ca="1" si="57"/>
        <v>375.12984806867621</v>
      </c>
      <c r="I691" s="42">
        <f t="shared" ca="1" si="58"/>
        <v>0</v>
      </c>
    </row>
    <row r="692" spans="5:9" x14ac:dyDescent="0.25">
      <c r="E692">
        <f t="shared" si="59"/>
        <v>682</v>
      </c>
      <c r="F692" s="39">
        <f t="shared" ca="1" si="55"/>
        <v>-0.16302121487696297</v>
      </c>
      <c r="G692" s="42">
        <f t="shared" ca="1" si="56"/>
        <v>24.272384768568074</v>
      </c>
      <c r="H692" s="42">
        <f t="shared" ca="1" si="57"/>
        <v>-3.7276152314319262</v>
      </c>
      <c r="I692" s="42">
        <f t="shared" ca="1" si="58"/>
        <v>0</v>
      </c>
    </row>
    <row r="693" spans="5:9" x14ac:dyDescent="0.25">
      <c r="E693">
        <f t="shared" si="59"/>
        <v>683</v>
      </c>
      <c r="F693" s="39">
        <f t="shared" ca="1" si="55"/>
        <v>57.71399734788676</v>
      </c>
      <c r="G693" s="42">
        <f t="shared" ca="1" si="56"/>
        <v>1702.705923088716</v>
      </c>
      <c r="H693" s="42">
        <f t="shared" ca="1" si="57"/>
        <v>1674.705923088716</v>
      </c>
      <c r="I693" s="42">
        <f t="shared" ca="1" si="58"/>
        <v>0</v>
      </c>
    </row>
    <row r="694" spans="5:9" x14ac:dyDescent="0.25">
      <c r="E694">
        <f t="shared" si="59"/>
        <v>684</v>
      </c>
      <c r="F694" s="39">
        <f t="shared" ca="1" si="55"/>
        <v>31.743607707260825</v>
      </c>
      <c r="G694" s="42">
        <f t="shared" ca="1" si="56"/>
        <v>949.56462351056382</v>
      </c>
      <c r="H694" s="42">
        <f t="shared" ca="1" si="57"/>
        <v>921.56462351056382</v>
      </c>
      <c r="I694" s="42">
        <f t="shared" ca="1" si="58"/>
        <v>0</v>
      </c>
    </row>
    <row r="695" spans="5:9" x14ac:dyDescent="0.25">
      <c r="E695">
        <f t="shared" si="59"/>
        <v>685</v>
      </c>
      <c r="F695" s="39">
        <f t="shared" ca="1" si="55"/>
        <v>43.499803381328199</v>
      </c>
      <c r="G695" s="42">
        <f t="shared" ca="1" si="56"/>
        <v>1290.4942980585179</v>
      </c>
      <c r="H695" s="42">
        <f t="shared" ca="1" si="57"/>
        <v>1262.4942980585179</v>
      </c>
      <c r="I695" s="42">
        <f t="shared" ca="1" si="58"/>
        <v>0</v>
      </c>
    </row>
    <row r="696" spans="5:9" x14ac:dyDescent="0.25">
      <c r="E696">
        <f t="shared" si="59"/>
        <v>686</v>
      </c>
      <c r="F696" s="39">
        <f t="shared" ca="1" si="55"/>
        <v>39.965028921122112</v>
      </c>
      <c r="G696" s="42">
        <f t="shared" ca="1" si="56"/>
        <v>1187.9858387125412</v>
      </c>
      <c r="H696" s="42">
        <f t="shared" ca="1" si="57"/>
        <v>1159.9858387125412</v>
      </c>
      <c r="I696" s="42">
        <f t="shared" ca="1" si="58"/>
        <v>0</v>
      </c>
    </row>
    <row r="697" spans="5:9" x14ac:dyDescent="0.25">
      <c r="E697">
        <f t="shared" si="59"/>
        <v>687</v>
      </c>
      <c r="F697" s="39">
        <f t="shared" ca="1" si="55"/>
        <v>100.06036134447425</v>
      </c>
      <c r="G697" s="42">
        <f t="shared" ca="1" si="56"/>
        <v>2930.750478989753</v>
      </c>
      <c r="H697" s="42">
        <f t="shared" ca="1" si="57"/>
        <v>2902.750478989753</v>
      </c>
      <c r="I697" s="42">
        <f t="shared" ca="1" si="58"/>
        <v>0</v>
      </c>
    </row>
    <row r="698" spans="5:9" x14ac:dyDescent="0.25">
      <c r="E698">
        <f t="shared" si="59"/>
        <v>688</v>
      </c>
      <c r="F698" s="39">
        <f t="shared" ca="1" si="55"/>
        <v>30.761213802849021</v>
      </c>
      <c r="G698" s="42">
        <f t="shared" ca="1" si="56"/>
        <v>921.07520028262161</v>
      </c>
      <c r="H698" s="42">
        <f t="shared" ca="1" si="57"/>
        <v>893.07520028262161</v>
      </c>
      <c r="I698" s="42">
        <f t="shared" ca="1" si="58"/>
        <v>0</v>
      </c>
    </row>
    <row r="699" spans="5:9" x14ac:dyDescent="0.25">
      <c r="E699">
        <f t="shared" si="59"/>
        <v>689</v>
      </c>
      <c r="F699" s="39">
        <f t="shared" ca="1" si="55"/>
        <v>45.947199767507563</v>
      </c>
      <c r="G699" s="42">
        <f t="shared" ca="1" si="56"/>
        <v>1361.4687932577194</v>
      </c>
      <c r="H699" s="42">
        <f t="shared" ca="1" si="57"/>
        <v>1333.4687932577194</v>
      </c>
      <c r="I699" s="42">
        <f t="shared" ca="1" si="58"/>
        <v>0</v>
      </c>
    </row>
    <row r="700" spans="5:9" x14ac:dyDescent="0.25">
      <c r="E700">
        <f t="shared" si="59"/>
        <v>690</v>
      </c>
      <c r="F700" s="39">
        <f t="shared" ca="1" si="55"/>
        <v>71.623281985895289</v>
      </c>
      <c r="G700" s="42">
        <f t="shared" ca="1" si="56"/>
        <v>2106.0751775909634</v>
      </c>
      <c r="H700" s="42">
        <f t="shared" ca="1" si="57"/>
        <v>2078.0751775909634</v>
      </c>
      <c r="I700" s="42">
        <f t="shared" ca="1" si="58"/>
        <v>0</v>
      </c>
    </row>
    <row r="701" spans="5:9" x14ac:dyDescent="0.25">
      <c r="E701">
        <f t="shared" si="59"/>
        <v>691</v>
      </c>
      <c r="F701" s="39">
        <f t="shared" ca="1" si="55"/>
        <v>92.551262967672386</v>
      </c>
      <c r="G701" s="42">
        <f t="shared" ca="1" si="56"/>
        <v>2712.986626062499</v>
      </c>
      <c r="H701" s="42">
        <f t="shared" ca="1" si="57"/>
        <v>2684.986626062499</v>
      </c>
      <c r="I701" s="42">
        <f t="shared" ca="1" si="58"/>
        <v>0</v>
      </c>
    </row>
    <row r="702" spans="5:9" x14ac:dyDescent="0.25">
      <c r="E702">
        <f t="shared" si="59"/>
        <v>692</v>
      </c>
      <c r="F702" s="39">
        <f t="shared" ca="1" si="55"/>
        <v>-4.9130975240850177</v>
      </c>
      <c r="G702" s="42">
        <f t="shared" ca="1" si="56"/>
        <v>-113.47982819846551</v>
      </c>
      <c r="H702" s="42">
        <f t="shared" ca="1" si="57"/>
        <v>-141.4798281984655</v>
      </c>
      <c r="I702" s="42">
        <f t="shared" ca="1" si="58"/>
        <v>0</v>
      </c>
    </row>
    <row r="703" spans="5:9" x14ac:dyDescent="0.25">
      <c r="E703">
        <f t="shared" si="59"/>
        <v>693</v>
      </c>
      <c r="F703" s="39">
        <f t="shared" ca="1" si="55"/>
        <v>84.73177167314924</v>
      </c>
      <c r="G703" s="42">
        <f t="shared" ca="1" si="56"/>
        <v>2486.221378521328</v>
      </c>
      <c r="H703" s="42">
        <f t="shared" ca="1" si="57"/>
        <v>2458.221378521328</v>
      </c>
      <c r="I703" s="42">
        <f t="shared" ca="1" si="58"/>
        <v>0</v>
      </c>
    </row>
    <row r="704" spans="5:9" x14ac:dyDescent="0.25">
      <c r="E704">
        <f t="shared" si="59"/>
        <v>694</v>
      </c>
      <c r="F704" s="39">
        <f t="shared" ca="1" si="55"/>
        <v>57.850719074617018</v>
      </c>
      <c r="G704" s="42">
        <f t="shared" ca="1" si="56"/>
        <v>1706.6708531638935</v>
      </c>
      <c r="H704" s="42">
        <f t="shared" ca="1" si="57"/>
        <v>1678.6708531638935</v>
      </c>
      <c r="I704" s="42">
        <f t="shared" ca="1" si="58"/>
        <v>0</v>
      </c>
    </row>
    <row r="705" spans="5:9" x14ac:dyDescent="0.25">
      <c r="E705">
        <f t="shared" si="59"/>
        <v>695</v>
      </c>
      <c r="F705" s="39">
        <f t="shared" ca="1" si="55"/>
        <v>94.563884463281155</v>
      </c>
      <c r="G705" s="42">
        <f t="shared" ca="1" si="56"/>
        <v>2771.3526494351536</v>
      </c>
      <c r="H705" s="42">
        <f t="shared" ca="1" si="57"/>
        <v>2743.3526494351536</v>
      </c>
      <c r="I705" s="42">
        <f t="shared" ca="1" si="58"/>
        <v>0</v>
      </c>
    </row>
    <row r="706" spans="5:9" x14ac:dyDescent="0.25">
      <c r="E706">
        <f t="shared" si="59"/>
        <v>696</v>
      </c>
      <c r="F706" s="39">
        <f t="shared" ca="1" si="55"/>
        <v>64.375078906557036</v>
      </c>
      <c r="G706" s="42">
        <f t="shared" ca="1" si="56"/>
        <v>1895.877288290154</v>
      </c>
      <c r="H706" s="42">
        <f t="shared" ca="1" si="57"/>
        <v>1867.877288290154</v>
      </c>
      <c r="I706" s="42">
        <f t="shared" ca="1" si="58"/>
        <v>0</v>
      </c>
    </row>
    <row r="707" spans="5:9" x14ac:dyDescent="0.25">
      <c r="E707">
        <f t="shared" si="59"/>
        <v>697</v>
      </c>
      <c r="F707" s="39">
        <f t="shared" ca="1" si="55"/>
        <v>27.173979817270741</v>
      </c>
      <c r="G707" s="42">
        <f t="shared" ca="1" si="56"/>
        <v>817.04541470085144</v>
      </c>
      <c r="H707" s="42">
        <f t="shared" ca="1" si="57"/>
        <v>789.04541470085144</v>
      </c>
      <c r="I707" s="42">
        <f t="shared" ca="1" si="58"/>
        <v>0</v>
      </c>
    </row>
    <row r="708" spans="5:9" x14ac:dyDescent="0.25">
      <c r="E708">
        <f t="shared" si="59"/>
        <v>698</v>
      </c>
      <c r="F708" s="39">
        <f t="shared" ca="1" si="55"/>
        <v>2.7683019229732935</v>
      </c>
      <c r="G708" s="42">
        <f t="shared" ca="1" si="56"/>
        <v>109.28075576622551</v>
      </c>
      <c r="H708" s="42">
        <f t="shared" ca="1" si="57"/>
        <v>81.280755766225511</v>
      </c>
      <c r="I708" s="42">
        <f t="shared" ca="1" si="58"/>
        <v>0</v>
      </c>
    </row>
    <row r="709" spans="5:9" x14ac:dyDescent="0.25">
      <c r="E709">
        <f t="shared" si="59"/>
        <v>699</v>
      </c>
      <c r="F709" s="39">
        <f t="shared" ca="1" si="55"/>
        <v>38.11014773645892</v>
      </c>
      <c r="G709" s="42">
        <f t="shared" ca="1" si="56"/>
        <v>1134.1942843573088</v>
      </c>
      <c r="H709" s="42">
        <f t="shared" ca="1" si="57"/>
        <v>1106.1942843573088</v>
      </c>
      <c r="I709" s="42">
        <f t="shared" ca="1" si="58"/>
        <v>0</v>
      </c>
    </row>
    <row r="710" spans="5:9" x14ac:dyDescent="0.25">
      <c r="E710">
        <f t="shared" si="59"/>
        <v>700</v>
      </c>
      <c r="F710" s="39">
        <f t="shared" ca="1" si="55"/>
        <v>80.289757746883112</v>
      </c>
      <c r="G710" s="42">
        <f t="shared" ca="1" si="56"/>
        <v>2357.4029746596102</v>
      </c>
      <c r="H710" s="42">
        <f t="shared" ca="1" si="57"/>
        <v>2329.4029746596102</v>
      </c>
      <c r="I710" s="42">
        <f t="shared" ca="1" si="58"/>
        <v>0</v>
      </c>
    </row>
    <row r="711" spans="5:9" x14ac:dyDescent="0.25">
      <c r="E711">
        <f t="shared" si="59"/>
        <v>701</v>
      </c>
      <c r="F711" s="39">
        <f t="shared" ca="1" si="55"/>
        <v>94.134442736291447</v>
      </c>
      <c r="G711" s="42">
        <f t="shared" ca="1" si="56"/>
        <v>2758.8988393524519</v>
      </c>
      <c r="H711" s="42">
        <f t="shared" ca="1" si="57"/>
        <v>2730.8988393524519</v>
      </c>
      <c r="I711" s="42">
        <f t="shared" ca="1" si="58"/>
        <v>0</v>
      </c>
    </row>
    <row r="712" spans="5:9" x14ac:dyDescent="0.25">
      <c r="E712">
        <f t="shared" si="59"/>
        <v>702</v>
      </c>
      <c r="F712" s="39">
        <f t="shared" ca="1" si="55"/>
        <v>0.89078549928131423</v>
      </c>
      <c r="G712" s="42">
        <f t="shared" ca="1" si="56"/>
        <v>54.832779479158113</v>
      </c>
      <c r="H712" s="42">
        <f t="shared" ca="1" si="57"/>
        <v>26.832779479158113</v>
      </c>
      <c r="I712" s="42">
        <f t="shared" ca="1" si="58"/>
        <v>0</v>
      </c>
    </row>
    <row r="713" spans="5:9" x14ac:dyDescent="0.25">
      <c r="E713">
        <f t="shared" si="59"/>
        <v>703</v>
      </c>
      <c r="F713" s="39">
        <f t="shared" ca="1" si="55"/>
        <v>11.338226548644126</v>
      </c>
      <c r="G713" s="42">
        <f t="shared" ca="1" si="56"/>
        <v>357.80856991067964</v>
      </c>
      <c r="H713" s="42">
        <f t="shared" ca="1" si="57"/>
        <v>329.80856991067964</v>
      </c>
      <c r="I713" s="42">
        <f t="shared" ca="1" si="58"/>
        <v>0</v>
      </c>
    </row>
    <row r="714" spans="5:9" x14ac:dyDescent="0.25">
      <c r="E714">
        <f t="shared" si="59"/>
        <v>704</v>
      </c>
      <c r="F714" s="39">
        <f t="shared" ca="1" si="55"/>
        <v>0.89391728132470405</v>
      </c>
      <c r="G714" s="42">
        <f t="shared" ca="1" si="56"/>
        <v>54.923601158416417</v>
      </c>
      <c r="H714" s="42">
        <f t="shared" ca="1" si="57"/>
        <v>26.923601158416417</v>
      </c>
      <c r="I714" s="42">
        <f t="shared" ca="1" si="58"/>
        <v>0</v>
      </c>
    </row>
    <row r="715" spans="5:9" x14ac:dyDescent="0.25">
      <c r="E715">
        <f t="shared" si="59"/>
        <v>705</v>
      </c>
      <c r="F715" s="39">
        <f t="shared" ca="1" si="55"/>
        <v>52.41868372092371</v>
      </c>
      <c r="G715" s="42">
        <f t="shared" ca="1" si="56"/>
        <v>1549.1418279067875</v>
      </c>
      <c r="H715" s="42">
        <f t="shared" ca="1" si="57"/>
        <v>1521.1418279067875</v>
      </c>
      <c r="I715" s="42">
        <f t="shared" ca="1" si="58"/>
        <v>0</v>
      </c>
    </row>
    <row r="716" spans="5:9" x14ac:dyDescent="0.25">
      <c r="E716">
        <f t="shared" si="59"/>
        <v>706</v>
      </c>
      <c r="F716" s="39">
        <f t="shared" ref="F716:F779" ca="1" si="60">_xlfn.NORM.INV(RAND(),$E$45,$E$46)</f>
        <v>79.829896131817733</v>
      </c>
      <c r="G716" s="42">
        <f t="shared" ref="G716:G779" ca="1" si="61">$E$39*(1+F716)</f>
        <v>2344.0669878227141</v>
      </c>
      <c r="H716" s="42">
        <f t="shared" ref="H716:H779" ca="1" si="62">MAX(G716-$E$38)</f>
        <v>2316.0669878227141</v>
      </c>
      <c r="I716" s="42">
        <f t="shared" ref="I716:I779" ca="1" si="63">MAX($E$38-$H$43,0)</f>
        <v>0</v>
      </c>
    </row>
    <row r="717" spans="5:9" x14ac:dyDescent="0.25">
      <c r="E717">
        <f t="shared" ref="E717:E780" si="64">E716+1</f>
        <v>707</v>
      </c>
      <c r="F717" s="39">
        <f t="shared" ca="1" si="60"/>
        <v>21.434864264110431</v>
      </c>
      <c r="G717" s="42">
        <f t="shared" ca="1" si="61"/>
        <v>650.6110636592025</v>
      </c>
      <c r="H717" s="42">
        <f t="shared" ca="1" si="62"/>
        <v>622.6110636592025</v>
      </c>
      <c r="I717" s="42">
        <f t="shared" ca="1" si="63"/>
        <v>0</v>
      </c>
    </row>
    <row r="718" spans="5:9" x14ac:dyDescent="0.25">
      <c r="E718">
        <f t="shared" si="64"/>
        <v>708</v>
      </c>
      <c r="F718" s="39">
        <f t="shared" ca="1" si="60"/>
        <v>85.098780734671919</v>
      </c>
      <c r="G718" s="42">
        <f t="shared" ca="1" si="61"/>
        <v>2496.8646413054857</v>
      </c>
      <c r="H718" s="42">
        <f t="shared" ca="1" si="62"/>
        <v>2468.8646413054857</v>
      </c>
      <c r="I718" s="42">
        <f t="shared" ca="1" si="63"/>
        <v>0</v>
      </c>
    </row>
    <row r="719" spans="5:9" x14ac:dyDescent="0.25">
      <c r="E719">
        <f t="shared" si="64"/>
        <v>709</v>
      </c>
      <c r="F719" s="39">
        <f t="shared" ca="1" si="60"/>
        <v>11.942296568351669</v>
      </c>
      <c r="G719" s="42">
        <f t="shared" ca="1" si="61"/>
        <v>375.32660048219839</v>
      </c>
      <c r="H719" s="42">
        <f t="shared" ca="1" si="62"/>
        <v>347.32660048219839</v>
      </c>
      <c r="I719" s="42">
        <f t="shared" ca="1" si="63"/>
        <v>0</v>
      </c>
    </row>
    <row r="720" spans="5:9" x14ac:dyDescent="0.25">
      <c r="E720">
        <f t="shared" si="64"/>
        <v>710</v>
      </c>
      <c r="F720" s="39">
        <f t="shared" ca="1" si="60"/>
        <v>10.771627299360713</v>
      </c>
      <c r="G720" s="42">
        <f t="shared" ca="1" si="61"/>
        <v>341.37719168146066</v>
      </c>
      <c r="H720" s="42">
        <f t="shared" ca="1" si="62"/>
        <v>313.37719168146066</v>
      </c>
      <c r="I720" s="42">
        <f t="shared" ca="1" si="63"/>
        <v>0</v>
      </c>
    </row>
    <row r="721" spans="5:9" x14ac:dyDescent="0.25">
      <c r="E721">
        <f t="shared" si="64"/>
        <v>711</v>
      </c>
      <c r="F721" s="39">
        <f t="shared" ca="1" si="60"/>
        <v>48.305052533617811</v>
      </c>
      <c r="G721" s="42">
        <f t="shared" ca="1" si="61"/>
        <v>1429.8465234749165</v>
      </c>
      <c r="H721" s="42">
        <f t="shared" ca="1" si="62"/>
        <v>1401.8465234749165</v>
      </c>
      <c r="I721" s="42">
        <f t="shared" ca="1" si="63"/>
        <v>0</v>
      </c>
    </row>
    <row r="722" spans="5:9" x14ac:dyDescent="0.25">
      <c r="E722">
        <f t="shared" si="64"/>
        <v>712</v>
      </c>
      <c r="F722" s="39">
        <f t="shared" ca="1" si="60"/>
        <v>-17.084263675447346</v>
      </c>
      <c r="G722" s="42">
        <f t="shared" ca="1" si="61"/>
        <v>-466.44364658797303</v>
      </c>
      <c r="H722" s="42">
        <f t="shared" ca="1" si="62"/>
        <v>-494.44364658797303</v>
      </c>
      <c r="I722" s="42">
        <f t="shared" ca="1" si="63"/>
        <v>0</v>
      </c>
    </row>
    <row r="723" spans="5:9" x14ac:dyDescent="0.25">
      <c r="E723">
        <f t="shared" si="64"/>
        <v>713</v>
      </c>
      <c r="F723" s="39">
        <f t="shared" ca="1" si="60"/>
        <v>-9.1546487231266411</v>
      </c>
      <c r="G723" s="42">
        <f t="shared" ca="1" si="61"/>
        <v>-236.48481297067258</v>
      </c>
      <c r="H723" s="42">
        <f t="shared" ca="1" si="62"/>
        <v>-264.48481297067258</v>
      </c>
      <c r="I723" s="42">
        <f t="shared" ca="1" si="63"/>
        <v>0</v>
      </c>
    </row>
    <row r="724" spans="5:9" x14ac:dyDescent="0.25">
      <c r="E724">
        <f t="shared" si="64"/>
        <v>714</v>
      </c>
      <c r="F724" s="39">
        <f t="shared" ca="1" si="60"/>
        <v>54.100322790390088</v>
      </c>
      <c r="G724" s="42">
        <f t="shared" ca="1" si="61"/>
        <v>1597.9093609213126</v>
      </c>
      <c r="H724" s="42">
        <f t="shared" ca="1" si="62"/>
        <v>1569.9093609213126</v>
      </c>
      <c r="I724" s="42">
        <f t="shared" ca="1" si="63"/>
        <v>0</v>
      </c>
    </row>
    <row r="725" spans="5:9" x14ac:dyDescent="0.25">
      <c r="E725">
        <f t="shared" si="64"/>
        <v>715</v>
      </c>
      <c r="F725" s="39">
        <f t="shared" ca="1" si="60"/>
        <v>42.599650673723616</v>
      </c>
      <c r="G725" s="42">
        <f t="shared" ca="1" si="61"/>
        <v>1264.3898695379849</v>
      </c>
      <c r="H725" s="42">
        <f t="shared" ca="1" si="62"/>
        <v>1236.3898695379849</v>
      </c>
      <c r="I725" s="42">
        <f t="shared" ca="1" si="63"/>
        <v>0</v>
      </c>
    </row>
    <row r="726" spans="5:9" x14ac:dyDescent="0.25">
      <c r="E726">
        <f t="shared" si="64"/>
        <v>716</v>
      </c>
      <c r="F726" s="39">
        <f t="shared" ca="1" si="60"/>
        <v>60.544119606459986</v>
      </c>
      <c r="G726" s="42">
        <f t="shared" ca="1" si="61"/>
        <v>1784.7794685873396</v>
      </c>
      <c r="H726" s="42">
        <f t="shared" ca="1" si="62"/>
        <v>1756.7794685873396</v>
      </c>
      <c r="I726" s="42">
        <f t="shared" ca="1" si="63"/>
        <v>0</v>
      </c>
    </row>
    <row r="727" spans="5:9" x14ac:dyDescent="0.25">
      <c r="E727">
        <f t="shared" si="64"/>
        <v>717</v>
      </c>
      <c r="F727" s="39">
        <f t="shared" ca="1" si="60"/>
        <v>50.165174491495073</v>
      </c>
      <c r="G727" s="42">
        <f t="shared" ca="1" si="61"/>
        <v>1483.7900602533571</v>
      </c>
      <c r="H727" s="42">
        <f t="shared" ca="1" si="62"/>
        <v>1455.7900602533571</v>
      </c>
      <c r="I727" s="42">
        <f t="shared" ca="1" si="63"/>
        <v>0</v>
      </c>
    </row>
    <row r="728" spans="5:9" x14ac:dyDescent="0.25">
      <c r="E728">
        <f t="shared" si="64"/>
        <v>718</v>
      </c>
      <c r="F728" s="39">
        <f t="shared" ca="1" si="60"/>
        <v>54.613575537079917</v>
      </c>
      <c r="G728" s="42">
        <f t="shared" ca="1" si="61"/>
        <v>1612.7936905753177</v>
      </c>
      <c r="H728" s="42">
        <f t="shared" ca="1" si="62"/>
        <v>1584.7936905753177</v>
      </c>
      <c r="I728" s="42">
        <f t="shared" ca="1" si="63"/>
        <v>0</v>
      </c>
    </row>
    <row r="729" spans="5:9" x14ac:dyDescent="0.25">
      <c r="E729">
        <f t="shared" si="64"/>
        <v>719</v>
      </c>
      <c r="F729" s="39">
        <f t="shared" ca="1" si="60"/>
        <v>31.021658484218008</v>
      </c>
      <c r="G729" s="42">
        <f t="shared" ca="1" si="61"/>
        <v>928.62809604232223</v>
      </c>
      <c r="H729" s="42">
        <f t="shared" ca="1" si="62"/>
        <v>900.62809604232223</v>
      </c>
      <c r="I729" s="42">
        <f t="shared" ca="1" si="63"/>
        <v>0</v>
      </c>
    </row>
    <row r="730" spans="5:9" x14ac:dyDescent="0.25">
      <c r="E730">
        <f t="shared" si="64"/>
        <v>720</v>
      </c>
      <c r="F730" s="39">
        <f t="shared" ca="1" si="60"/>
        <v>63.802375805161887</v>
      </c>
      <c r="G730" s="42">
        <f t="shared" ca="1" si="61"/>
        <v>1879.2688983496946</v>
      </c>
      <c r="H730" s="42">
        <f t="shared" ca="1" si="62"/>
        <v>1851.2688983496946</v>
      </c>
      <c r="I730" s="42">
        <f t="shared" ca="1" si="63"/>
        <v>0</v>
      </c>
    </row>
    <row r="731" spans="5:9" x14ac:dyDescent="0.25">
      <c r="E731">
        <f t="shared" si="64"/>
        <v>721</v>
      </c>
      <c r="F731" s="39">
        <f t="shared" ca="1" si="60"/>
        <v>44.604747376939152</v>
      </c>
      <c r="G731" s="42">
        <f t="shared" ca="1" si="61"/>
        <v>1322.5376739312353</v>
      </c>
      <c r="H731" s="42">
        <f t="shared" ca="1" si="62"/>
        <v>1294.5376739312353</v>
      </c>
      <c r="I731" s="42">
        <f t="shared" ca="1" si="63"/>
        <v>0</v>
      </c>
    </row>
    <row r="732" spans="5:9" x14ac:dyDescent="0.25">
      <c r="E732">
        <f t="shared" si="64"/>
        <v>722</v>
      </c>
      <c r="F732" s="39">
        <f t="shared" ca="1" si="60"/>
        <v>73.755605839153532</v>
      </c>
      <c r="G732" s="42">
        <f t="shared" ca="1" si="61"/>
        <v>2167.9125693354526</v>
      </c>
      <c r="H732" s="42">
        <f t="shared" ca="1" si="62"/>
        <v>2139.9125693354526</v>
      </c>
      <c r="I732" s="42">
        <f t="shared" ca="1" si="63"/>
        <v>0</v>
      </c>
    </row>
    <row r="733" spans="5:9" x14ac:dyDescent="0.25">
      <c r="E733">
        <f t="shared" si="64"/>
        <v>723</v>
      </c>
      <c r="F733" s="39">
        <f t="shared" ca="1" si="60"/>
        <v>58.153557892751891</v>
      </c>
      <c r="G733" s="42">
        <f t="shared" ca="1" si="61"/>
        <v>1715.4531788898048</v>
      </c>
      <c r="H733" s="42">
        <f t="shared" ca="1" si="62"/>
        <v>1687.4531788898048</v>
      </c>
      <c r="I733" s="42">
        <f t="shared" ca="1" si="63"/>
        <v>0</v>
      </c>
    </row>
    <row r="734" spans="5:9" x14ac:dyDescent="0.25">
      <c r="E734">
        <f t="shared" si="64"/>
        <v>724</v>
      </c>
      <c r="F734" s="39">
        <f t="shared" ca="1" si="60"/>
        <v>85.126604907639461</v>
      </c>
      <c r="G734" s="42">
        <f t="shared" ca="1" si="61"/>
        <v>2497.6715423215442</v>
      </c>
      <c r="H734" s="42">
        <f t="shared" ca="1" si="62"/>
        <v>2469.6715423215442</v>
      </c>
      <c r="I734" s="42">
        <f t="shared" ca="1" si="63"/>
        <v>0</v>
      </c>
    </row>
    <row r="735" spans="5:9" x14ac:dyDescent="0.25">
      <c r="E735">
        <f t="shared" si="64"/>
        <v>725</v>
      </c>
      <c r="F735" s="39">
        <f t="shared" ca="1" si="60"/>
        <v>35.265204804946968</v>
      </c>
      <c r="G735" s="42">
        <f t="shared" ca="1" si="61"/>
        <v>1051.6909393434621</v>
      </c>
      <c r="H735" s="42">
        <f t="shared" ca="1" si="62"/>
        <v>1023.6909393434621</v>
      </c>
      <c r="I735" s="42">
        <f t="shared" ca="1" si="63"/>
        <v>0</v>
      </c>
    </row>
    <row r="736" spans="5:9" x14ac:dyDescent="0.25">
      <c r="E736">
        <f t="shared" si="64"/>
        <v>726</v>
      </c>
      <c r="F736" s="39">
        <f t="shared" ca="1" si="60"/>
        <v>65.744155136272724</v>
      </c>
      <c r="G736" s="42">
        <f t="shared" ca="1" si="61"/>
        <v>1935.580498951909</v>
      </c>
      <c r="H736" s="42">
        <f t="shared" ca="1" si="62"/>
        <v>1907.580498951909</v>
      </c>
      <c r="I736" s="42">
        <f t="shared" ca="1" si="63"/>
        <v>0</v>
      </c>
    </row>
    <row r="737" spans="5:9" x14ac:dyDescent="0.25">
      <c r="E737">
        <f t="shared" si="64"/>
        <v>727</v>
      </c>
      <c r="F737" s="39">
        <f t="shared" ca="1" si="60"/>
        <v>66.283600801629305</v>
      </c>
      <c r="G737" s="42">
        <f t="shared" ca="1" si="61"/>
        <v>1951.2244232472499</v>
      </c>
      <c r="H737" s="42">
        <f t="shared" ca="1" si="62"/>
        <v>1923.2244232472499</v>
      </c>
      <c r="I737" s="42">
        <f t="shared" ca="1" si="63"/>
        <v>0</v>
      </c>
    </row>
    <row r="738" spans="5:9" x14ac:dyDescent="0.25">
      <c r="E738">
        <f t="shared" si="64"/>
        <v>728</v>
      </c>
      <c r="F738" s="39">
        <f t="shared" ca="1" si="60"/>
        <v>40.78345557558454</v>
      </c>
      <c r="G738" s="42">
        <f t="shared" ca="1" si="61"/>
        <v>1211.7202116919516</v>
      </c>
      <c r="H738" s="42">
        <f t="shared" ca="1" si="62"/>
        <v>1183.7202116919516</v>
      </c>
      <c r="I738" s="42">
        <f t="shared" ca="1" si="63"/>
        <v>0</v>
      </c>
    </row>
    <row r="739" spans="5:9" x14ac:dyDescent="0.25">
      <c r="E739">
        <f t="shared" si="64"/>
        <v>729</v>
      </c>
      <c r="F739" s="39">
        <f t="shared" ca="1" si="60"/>
        <v>77.911612001616191</v>
      </c>
      <c r="G739" s="42">
        <f t="shared" ca="1" si="61"/>
        <v>2288.4367480468695</v>
      </c>
      <c r="H739" s="42">
        <f t="shared" ca="1" si="62"/>
        <v>2260.4367480468695</v>
      </c>
      <c r="I739" s="42">
        <f t="shared" ca="1" si="63"/>
        <v>0</v>
      </c>
    </row>
    <row r="740" spans="5:9" x14ac:dyDescent="0.25">
      <c r="E740">
        <f t="shared" si="64"/>
        <v>730</v>
      </c>
      <c r="F740" s="39">
        <f t="shared" ca="1" si="60"/>
        <v>54.253381595281482</v>
      </c>
      <c r="G740" s="42">
        <f t="shared" ca="1" si="61"/>
        <v>1602.348066263163</v>
      </c>
      <c r="H740" s="42">
        <f t="shared" ca="1" si="62"/>
        <v>1574.348066263163</v>
      </c>
      <c r="I740" s="42">
        <f t="shared" ca="1" si="63"/>
        <v>0</v>
      </c>
    </row>
    <row r="741" spans="5:9" x14ac:dyDescent="0.25">
      <c r="E741">
        <f t="shared" si="64"/>
        <v>731</v>
      </c>
      <c r="F741" s="39">
        <f t="shared" ca="1" si="60"/>
        <v>102.28194073985151</v>
      </c>
      <c r="G741" s="42">
        <f t="shared" ca="1" si="61"/>
        <v>2995.1762814556937</v>
      </c>
      <c r="H741" s="42">
        <f t="shared" ca="1" si="62"/>
        <v>2967.1762814556937</v>
      </c>
      <c r="I741" s="42">
        <f t="shared" ca="1" si="63"/>
        <v>0</v>
      </c>
    </row>
    <row r="742" spans="5:9" x14ac:dyDescent="0.25">
      <c r="E742">
        <f t="shared" si="64"/>
        <v>732</v>
      </c>
      <c r="F742" s="39">
        <f t="shared" ca="1" si="60"/>
        <v>22.085389944243822</v>
      </c>
      <c r="G742" s="42">
        <f t="shared" ca="1" si="61"/>
        <v>669.47630838307089</v>
      </c>
      <c r="H742" s="42">
        <f t="shared" ca="1" si="62"/>
        <v>641.47630838307089</v>
      </c>
      <c r="I742" s="42">
        <f t="shared" ca="1" si="63"/>
        <v>0</v>
      </c>
    </row>
    <row r="743" spans="5:9" x14ac:dyDescent="0.25">
      <c r="E743">
        <f t="shared" si="64"/>
        <v>733</v>
      </c>
      <c r="F743" s="39">
        <f t="shared" ca="1" si="60"/>
        <v>32.514867038541681</v>
      </c>
      <c r="G743" s="42">
        <f t="shared" ca="1" si="61"/>
        <v>971.93114411770875</v>
      </c>
      <c r="H743" s="42">
        <f t="shared" ca="1" si="62"/>
        <v>943.93114411770875</v>
      </c>
      <c r="I743" s="42">
        <f t="shared" ca="1" si="63"/>
        <v>0</v>
      </c>
    </row>
    <row r="744" spans="5:9" x14ac:dyDescent="0.25">
      <c r="E744">
        <f t="shared" si="64"/>
        <v>734</v>
      </c>
      <c r="F744" s="39">
        <f t="shared" ca="1" si="60"/>
        <v>31.382605924109502</v>
      </c>
      <c r="G744" s="42">
        <f t="shared" ca="1" si="61"/>
        <v>939.09557179917545</v>
      </c>
      <c r="H744" s="42">
        <f t="shared" ca="1" si="62"/>
        <v>911.09557179917545</v>
      </c>
      <c r="I744" s="42">
        <f t="shared" ca="1" si="63"/>
        <v>0</v>
      </c>
    </row>
    <row r="745" spans="5:9" x14ac:dyDescent="0.25">
      <c r="E745">
        <f t="shared" si="64"/>
        <v>735</v>
      </c>
      <c r="F745" s="39">
        <f t="shared" ca="1" si="60"/>
        <v>104.9255743771221</v>
      </c>
      <c r="G745" s="42">
        <f t="shared" ca="1" si="61"/>
        <v>3071.8416569365409</v>
      </c>
      <c r="H745" s="42">
        <f t="shared" ca="1" si="62"/>
        <v>3043.8416569365409</v>
      </c>
      <c r="I745" s="42">
        <f t="shared" ca="1" si="63"/>
        <v>0</v>
      </c>
    </row>
    <row r="746" spans="5:9" x14ac:dyDescent="0.25">
      <c r="E746">
        <f t="shared" si="64"/>
        <v>736</v>
      </c>
      <c r="F746" s="39">
        <f t="shared" ca="1" si="60"/>
        <v>34.073306836070032</v>
      </c>
      <c r="G746" s="42">
        <f t="shared" ca="1" si="61"/>
        <v>1017.1258982460309</v>
      </c>
      <c r="H746" s="42">
        <f t="shared" ca="1" si="62"/>
        <v>989.12589824603094</v>
      </c>
      <c r="I746" s="42">
        <f t="shared" ca="1" si="63"/>
        <v>0</v>
      </c>
    </row>
    <row r="747" spans="5:9" x14ac:dyDescent="0.25">
      <c r="E747">
        <f t="shared" si="64"/>
        <v>737</v>
      </c>
      <c r="F747" s="39">
        <f t="shared" ca="1" si="60"/>
        <v>30.819032475807624</v>
      </c>
      <c r="G747" s="42">
        <f t="shared" ca="1" si="61"/>
        <v>922.75194179842106</v>
      </c>
      <c r="H747" s="42">
        <f t="shared" ca="1" si="62"/>
        <v>894.75194179842106</v>
      </c>
      <c r="I747" s="42">
        <f t="shared" ca="1" si="63"/>
        <v>0</v>
      </c>
    </row>
    <row r="748" spans="5:9" x14ac:dyDescent="0.25">
      <c r="E748">
        <f t="shared" si="64"/>
        <v>738</v>
      </c>
      <c r="F748" s="39">
        <f t="shared" ca="1" si="60"/>
        <v>41.821191816922806</v>
      </c>
      <c r="G748" s="42">
        <f t="shared" ca="1" si="61"/>
        <v>1241.8145626907612</v>
      </c>
      <c r="H748" s="42">
        <f t="shared" ca="1" si="62"/>
        <v>1213.8145626907612</v>
      </c>
      <c r="I748" s="42">
        <f t="shared" ca="1" si="63"/>
        <v>0</v>
      </c>
    </row>
    <row r="749" spans="5:9" x14ac:dyDescent="0.25">
      <c r="E749">
        <f t="shared" si="64"/>
        <v>739</v>
      </c>
      <c r="F749" s="39">
        <f t="shared" ca="1" si="60"/>
        <v>-1.6902610248912708E-2</v>
      </c>
      <c r="G749" s="42">
        <f t="shared" ca="1" si="61"/>
        <v>28.509824302781531</v>
      </c>
      <c r="H749" s="42">
        <f t="shared" ca="1" si="62"/>
        <v>0.50982430278153146</v>
      </c>
      <c r="I749" s="42">
        <f t="shared" ca="1" si="63"/>
        <v>0</v>
      </c>
    </row>
    <row r="750" spans="5:9" x14ac:dyDescent="0.25">
      <c r="E750">
        <f t="shared" si="64"/>
        <v>740</v>
      </c>
      <c r="F750" s="39">
        <f t="shared" ca="1" si="60"/>
        <v>72.817177023412597</v>
      </c>
      <c r="G750" s="42">
        <f t="shared" ca="1" si="61"/>
        <v>2140.6981336789654</v>
      </c>
      <c r="H750" s="42">
        <f t="shared" ca="1" si="62"/>
        <v>2112.6981336789654</v>
      </c>
      <c r="I750" s="42">
        <f t="shared" ca="1" si="63"/>
        <v>0</v>
      </c>
    </row>
    <row r="751" spans="5:9" x14ac:dyDescent="0.25">
      <c r="E751">
        <f t="shared" si="64"/>
        <v>741</v>
      </c>
      <c r="F751" s="39">
        <f t="shared" ca="1" si="60"/>
        <v>91.798805411085795</v>
      </c>
      <c r="G751" s="42">
        <f t="shared" ca="1" si="61"/>
        <v>2691.1653569214882</v>
      </c>
      <c r="H751" s="42">
        <f t="shared" ca="1" si="62"/>
        <v>2663.1653569214882</v>
      </c>
      <c r="I751" s="42">
        <f t="shared" ca="1" si="63"/>
        <v>0</v>
      </c>
    </row>
    <row r="752" spans="5:9" x14ac:dyDescent="0.25">
      <c r="E752">
        <f t="shared" si="64"/>
        <v>742</v>
      </c>
      <c r="F752" s="39">
        <f t="shared" ca="1" si="60"/>
        <v>3.0705591825133851</v>
      </c>
      <c r="G752" s="42">
        <f t="shared" ca="1" si="61"/>
        <v>118.04621629288818</v>
      </c>
      <c r="H752" s="42">
        <f t="shared" ca="1" si="62"/>
        <v>90.046216292888175</v>
      </c>
      <c r="I752" s="42">
        <f t="shared" ca="1" si="63"/>
        <v>0</v>
      </c>
    </row>
    <row r="753" spans="5:9" x14ac:dyDescent="0.25">
      <c r="E753">
        <f t="shared" si="64"/>
        <v>743</v>
      </c>
      <c r="F753" s="39">
        <f t="shared" ca="1" si="60"/>
        <v>62.119609000943335</v>
      </c>
      <c r="G753" s="42">
        <f t="shared" ca="1" si="61"/>
        <v>1830.4686610273568</v>
      </c>
      <c r="H753" s="42">
        <f t="shared" ca="1" si="62"/>
        <v>1802.4686610273568</v>
      </c>
      <c r="I753" s="42">
        <f t="shared" ca="1" si="63"/>
        <v>0</v>
      </c>
    </row>
    <row r="754" spans="5:9" x14ac:dyDescent="0.25">
      <c r="E754">
        <f t="shared" si="64"/>
        <v>744</v>
      </c>
      <c r="F754" s="39">
        <f t="shared" ca="1" si="60"/>
        <v>52.299428019452847</v>
      </c>
      <c r="G754" s="42">
        <f t="shared" ca="1" si="61"/>
        <v>1545.6834125641326</v>
      </c>
      <c r="H754" s="42">
        <f t="shared" ca="1" si="62"/>
        <v>1517.6834125641326</v>
      </c>
      <c r="I754" s="42">
        <f t="shared" ca="1" si="63"/>
        <v>0</v>
      </c>
    </row>
    <row r="755" spans="5:9" x14ac:dyDescent="0.25">
      <c r="E755">
        <f t="shared" si="64"/>
        <v>745</v>
      </c>
      <c r="F755" s="39">
        <f t="shared" ca="1" si="60"/>
        <v>56.477133445476518</v>
      </c>
      <c r="G755" s="42">
        <f t="shared" ca="1" si="61"/>
        <v>1666.836869918819</v>
      </c>
      <c r="H755" s="42">
        <f t="shared" ca="1" si="62"/>
        <v>1638.836869918819</v>
      </c>
      <c r="I755" s="42">
        <f t="shared" ca="1" si="63"/>
        <v>0</v>
      </c>
    </row>
    <row r="756" spans="5:9" x14ac:dyDescent="0.25">
      <c r="E756">
        <f t="shared" si="64"/>
        <v>746</v>
      </c>
      <c r="F756" s="39">
        <f t="shared" ca="1" si="60"/>
        <v>27.447783404991547</v>
      </c>
      <c r="G756" s="42">
        <f t="shared" ca="1" si="61"/>
        <v>824.98571874475488</v>
      </c>
      <c r="H756" s="42">
        <f t="shared" ca="1" si="62"/>
        <v>796.98571874475488</v>
      </c>
      <c r="I756" s="42">
        <f t="shared" ca="1" si="63"/>
        <v>0</v>
      </c>
    </row>
    <row r="757" spans="5:9" x14ac:dyDescent="0.25">
      <c r="E757">
        <f t="shared" si="64"/>
        <v>747</v>
      </c>
      <c r="F757" s="39">
        <f t="shared" ca="1" si="60"/>
        <v>75.803378199713151</v>
      </c>
      <c r="G757" s="42">
        <f t="shared" ca="1" si="61"/>
        <v>2227.2979677916815</v>
      </c>
      <c r="H757" s="42">
        <f t="shared" ca="1" si="62"/>
        <v>2199.2979677916815</v>
      </c>
      <c r="I757" s="42">
        <f t="shared" ca="1" si="63"/>
        <v>0</v>
      </c>
    </row>
    <row r="758" spans="5:9" x14ac:dyDescent="0.25">
      <c r="E758">
        <f t="shared" si="64"/>
        <v>748</v>
      </c>
      <c r="F758" s="39">
        <f t="shared" ca="1" si="60"/>
        <v>-29.451870883860593</v>
      </c>
      <c r="G758" s="42">
        <f t="shared" ca="1" si="61"/>
        <v>-825.10425563195724</v>
      </c>
      <c r="H758" s="42">
        <f t="shared" ca="1" si="62"/>
        <v>-853.10425563195724</v>
      </c>
      <c r="I758" s="42">
        <f t="shared" ca="1" si="63"/>
        <v>0</v>
      </c>
    </row>
    <row r="759" spans="5:9" x14ac:dyDescent="0.25">
      <c r="E759">
        <f t="shared" si="64"/>
        <v>749</v>
      </c>
      <c r="F759" s="39">
        <f t="shared" ca="1" si="60"/>
        <v>-3.1045944665766712</v>
      </c>
      <c r="G759" s="42">
        <f t="shared" ca="1" si="61"/>
        <v>-61.033239530723463</v>
      </c>
      <c r="H759" s="42">
        <f t="shared" ca="1" si="62"/>
        <v>-89.033239530723463</v>
      </c>
      <c r="I759" s="42">
        <f t="shared" ca="1" si="63"/>
        <v>0</v>
      </c>
    </row>
    <row r="760" spans="5:9" x14ac:dyDescent="0.25">
      <c r="E760">
        <f t="shared" si="64"/>
        <v>750</v>
      </c>
      <c r="F760" s="39">
        <f t="shared" ca="1" si="60"/>
        <v>26.155226704748451</v>
      </c>
      <c r="G760" s="42">
        <f t="shared" ca="1" si="61"/>
        <v>787.50157443770502</v>
      </c>
      <c r="H760" s="42">
        <f t="shared" ca="1" si="62"/>
        <v>759.50157443770502</v>
      </c>
      <c r="I760" s="42">
        <f t="shared" ca="1" si="63"/>
        <v>0</v>
      </c>
    </row>
    <row r="761" spans="5:9" x14ac:dyDescent="0.25">
      <c r="E761">
        <f t="shared" si="64"/>
        <v>751</v>
      </c>
      <c r="F761" s="39">
        <f t="shared" ca="1" si="60"/>
        <v>55.915016075721681</v>
      </c>
      <c r="G761" s="42">
        <f t="shared" ca="1" si="61"/>
        <v>1650.5354661959288</v>
      </c>
      <c r="H761" s="42">
        <f t="shared" ca="1" si="62"/>
        <v>1622.5354661959288</v>
      </c>
      <c r="I761" s="42">
        <f t="shared" ca="1" si="63"/>
        <v>0</v>
      </c>
    </row>
    <row r="762" spans="5:9" x14ac:dyDescent="0.25">
      <c r="E762">
        <f t="shared" si="64"/>
        <v>752</v>
      </c>
      <c r="F762" s="39">
        <f t="shared" ca="1" si="60"/>
        <v>55.436104090937718</v>
      </c>
      <c r="G762" s="42">
        <f t="shared" ca="1" si="61"/>
        <v>1636.6470186371939</v>
      </c>
      <c r="H762" s="42">
        <f t="shared" ca="1" si="62"/>
        <v>1608.6470186371939</v>
      </c>
      <c r="I762" s="42">
        <f t="shared" ca="1" si="63"/>
        <v>0</v>
      </c>
    </row>
    <row r="763" spans="5:9" x14ac:dyDescent="0.25">
      <c r="E763">
        <f t="shared" si="64"/>
        <v>753</v>
      </c>
      <c r="F763" s="39">
        <f t="shared" ca="1" si="60"/>
        <v>120.73694388330354</v>
      </c>
      <c r="G763" s="42">
        <f t="shared" ca="1" si="61"/>
        <v>3530.3713726158026</v>
      </c>
      <c r="H763" s="42">
        <f t="shared" ca="1" si="62"/>
        <v>3502.3713726158026</v>
      </c>
      <c r="I763" s="42">
        <f t="shared" ca="1" si="63"/>
        <v>0</v>
      </c>
    </row>
    <row r="764" spans="5:9" x14ac:dyDescent="0.25">
      <c r="E764">
        <f t="shared" si="64"/>
        <v>754</v>
      </c>
      <c r="F764" s="39">
        <f t="shared" ca="1" si="60"/>
        <v>87.042959223655231</v>
      </c>
      <c r="G764" s="42">
        <f t="shared" ca="1" si="61"/>
        <v>2553.2458174860017</v>
      </c>
      <c r="H764" s="42">
        <f t="shared" ca="1" si="62"/>
        <v>2525.2458174860017</v>
      </c>
      <c r="I764" s="42">
        <f t="shared" ca="1" si="63"/>
        <v>0</v>
      </c>
    </row>
    <row r="765" spans="5:9" x14ac:dyDescent="0.25">
      <c r="E765">
        <f t="shared" si="64"/>
        <v>755</v>
      </c>
      <c r="F765" s="39">
        <f t="shared" ca="1" si="60"/>
        <v>32.981365843954634</v>
      </c>
      <c r="G765" s="42">
        <f t="shared" ca="1" si="61"/>
        <v>985.45960947468438</v>
      </c>
      <c r="H765" s="42">
        <f t="shared" ca="1" si="62"/>
        <v>957.45960947468438</v>
      </c>
      <c r="I765" s="42">
        <f t="shared" ca="1" si="63"/>
        <v>0</v>
      </c>
    </row>
    <row r="766" spans="5:9" x14ac:dyDescent="0.25">
      <c r="E766">
        <f t="shared" si="64"/>
        <v>756</v>
      </c>
      <c r="F766" s="39">
        <f t="shared" ca="1" si="60"/>
        <v>-34.223730139489376</v>
      </c>
      <c r="G766" s="42">
        <f t="shared" ca="1" si="61"/>
        <v>-963.48817404519195</v>
      </c>
      <c r="H766" s="42">
        <f t="shared" ca="1" si="62"/>
        <v>-991.48817404519195</v>
      </c>
      <c r="I766" s="42">
        <f t="shared" ca="1" si="63"/>
        <v>0</v>
      </c>
    </row>
    <row r="767" spans="5:9" x14ac:dyDescent="0.25">
      <c r="E767">
        <f t="shared" si="64"/>
        <v>757</v>
      </c>
      <c r="F767" s="39">
        <f t="shared" ca="1" si="60"/>
        <v>-13.637196710614646</v>
      </c>
      <c r="G767" s="42">
        <f t="shared" ca="1" si="61"/>
        <v>-366.47870460782474</v>
      </c>
      <c r="H767" s="42">
        <f t="shared" ca="1" si="62"/>
        <v>-394.47870460782474</v>
      </c>
      <c r="I767" s="42">
        <f t="shared" ca="1" si="63"/>
        <v>0</v>
      </c>
    </row>
    <row r="768" spans="5:9" x14ac:dyDescent="0.25">
      <c r="E768">
        <f t="shared" si="64"/>
        <v>758</v>
      </c>
      <c r="F768" s="39">
        <f t="shared" ca="1" si="60"/>
        <v>-11.518462211653087</v>
      </c>
      <c r="G768" s="42">
        <f t="shared" ca="1" si="61"/>
        <v>-305.03540413793951</v>
      </c>
      <c r="H768" s="42">
        <f t="shared" ca="1" si="62"/>
        <v>-333.03540413793951</v>
      </c>
      <c r="I768" s="42">
        <f t="shared" ca="1" si="63"/>
        <v>0</v>
      </c>
    </row>
    <row r="769" spans="5:9" x14ac:dyDescent="0.25">
      <c r="E769">
        <f t="shared" si="64"/>
        <v>759</v>
      </c>
      <c r="F769" s="39">
        <f t="shared" ca="1" si="60"/>
        <v>-10.201769158175523</v>
      </c>
      <c r="G769" s="42">
        <f t="shared" ca="1" si="61"/>
        <v>-266.85130558709017</v>
      </c>
      <c r="H769" s="42">
        <f t="shared" ca="1" si="62"/>
        <v>-294.85130558709017</v>
      </c>
      <c r="I769" s="42">
        <f t="shared" ca="1" si="63"/>
        <v>0</v>
      </c>
    </row>
    <row r="770" spans="5:9" x14ac:dyDescent="0.25">
      <c r="E770">
        <f t="shared" si="64"/>
        <v>760</v>
      </c>
      <c r="F770" s="39">
        <f t="shared" ca="1" si="60"/>
        <v>54.715729675228566</v>
      </c>
      <c r="G770" s="42">
        <f t="shared" ca="1" si="61"/>
        <v>1615.7561605816284</v>
      </c>
      <c r="H770" s="42">
        <f t="shared" ca="1" si="62"/>
        <v>1587.7561605816284</v>
      </c>
      <c r="I770" s="42">
        <f t="shared" ca="1" si="63"/>
        <v>0</v>
      </c>
    </row>
    <row r="771" spans="5:9" x14ac:dyDescent="0.25">
      <c r="E771">
        <f t="shared" si="64"/>
        <v>761</v>
      </c>
      <c r="F771" s="39">
        <f t="shared" ca="1" si="60"/>
        <v>44.796378797309529</v>
      </c>
      <c r="G771" s="42">
        <f t="shared" ca="1" si="61"/>
        <v>1328.0949851219764</v>
      </c>
      <c r="H771" s="42">
        <f t="shared" ca="1" si="62"/>
        <v>1300.0949851219764</v>
      </c>
      <c r="I771" s="42">
        <f t="shared" ca="1" si="63"/>
        <v>0</v>
      </c>
    </row>
    <row r="772" spans="5:9" x14ac:dyDescent="0.25">
      <c r="E772">
        <f t="shared" si="64"/>
        <v>762</v>
      </c>
      <c r="F772" s="39">
        <f t="shared" ca="1" si="60"/>
        <v>13.794525333873207</v>
      </c>
      <c r="G772" s="42">
        <f t="shared" ca="1" si="61"/>
        <v>429.04123468232297</v>
      </c>
      <c r="H772" s="42">
        <f t="shared" ca="1" si="62"/>
        <v>401.04123468232297</v>
      </c>
      <c r="I772" s="42">
        <f t="shared" ca="1" si="63"/>
        <v>0</v>
      </c>
    </row>
    <row r="773" spans="5:9" x14ac:dyDescent="0.25">
      <c r="E773">
        <f t="shared" si="64"/>
        <v>763</v>
      </c>
      <c r="F773" s="39">
        <f t="shared" ca="1" si="60"/>
        <v>2.38294866624652</v>
      </c>
      <c r="G773" s="42">
        <f t="shared" ca="1" si="61"/>
        <v>98.105511321149081</v>
      </c>
      <c r="H773" s="42">
        <f t="shared" ca="1" si="62"/>
        <v>70.105511321149081</v>
      </c>
      <c r="I773" s="42">
        <f t="shared" ca="1" si="63"/>
        <v>0</v>
      </c>
    </row>
    <row r="774" spans="5:9" x14ac:dyDescent="0.25">
      <c r="E774">
        <f t="shared" si="64"/>
        <v>764</v>
      </c>
      <c r="F774" s="39">
        <f t="shared" ca="1" si="60"/>
        <v>99.106058946557624</v>
      </c>
      <c r="G774" s="42">
        <f t="shared" ca="1" si="61"/>
        <v>2903.075709450171</v>
      </c>
      <c r="H774" s="42">
        <f t="shared" ca="1" si="62"/>
        <v>2875.075709450171</v>
      </c>
      <c r="I774" s="42">
        <f t="shared" ca="1" si="63"/>
        <v>0</v>
      </c>
    </row>
    <row r="775" spans="5:9" x14ac:dyDescent="0.25">
      <c r="E775">
        <f t="shared" si="64"/>
        <v>765</v>
      </c>
      <c r="F775" s="39">
        <f t="shared" ca="1" si="60"/>
        <v>1.3972895140086408</v>
      </c>
      <c r="G775" s="42">
        <f t="shared" ca="1" si="61"/>
        <v>69.521395906250575</v>
      </c>
      <c r="H775" s="42">
        <f t="shared" ca="1" si="62"/>
        <v>41.521395906250575</v>
      </c>
      <c r="I775" s="42">
        <f t="shared" ca="1" si="63"/>
        <v>0</v>
      </c>
    </row>
    <row r="776" spans="5:9" x14ac:dyDescent="0.25">
      <c r="E776">
        <f t="shared" si="64"/>
        <v>766</v>
      </c>
      <c r="F776" s="39">
        <f t="shared" ca="1" si="60"/>
        <v>34.441288306363859</v>
      </c>
      <c r="G776" s="42">
        <f t="shared" ca="1" si="61"/>
        <v>1027.7973608845518</v>
      </c>
      <c r="H776" s="42">
        <f t="shared" ca="1" si="62"/>
        <v>999.79736088455184</v>
      </c>
      <c r="I776" s="42">
        <f t="shared" ca="1" si="63"/>
        <v>0</v>
      </c>
    </row>
    <row r="777" spans="5:9" x14ac:dyDescent="0.25">
      <c r="E777">
        <f t="shared" si="64"/>
        <v>767</v>
      </c>
      <c r="F777" s="39">
        <f t="shared" ca="1" si="60"/>
        <v>38.569737978237413</v>
      </c>
      <c r="G777" s="42">
        <f t="shared" ca="1" si="61"/>
        <v>1147.5224013688849</v>
      </c>
      <c r="H777" s="42">
        <f t="shared" ca="1" si="62"/>
        <v>1119.5224013688849</v>
      </c>
      <c r="I777" s="42">
        <f t="shared" ca="1" si="63"/>
        <v>0</v>
      </c>
    </row>
    <row r="778" spans="5:9" x14ac:dyDescent="0.25">
      <c r="E778">
        <f t="shared" si="64"/>
        <v>768</v>
      </c>
      <c r="F778" s="39">
        <f t="shared" ca="1" si="60"/>
        <v>72.441129883667301</v>
      </c>
      <c r="G778" s="42">
        <f t="shared" ca="1" si="61"/>
        <v>2129.7927666263517</v>
      </c>
      <c r="H778" s="42">
        <f t="shared" ca="1" si="62"/>
        <v>2101.7927666263517</v>
      </c>
      <c r="I778" s="42">
        <f t="shared" ca="1" si="63"/>
        <v>0</v>
      </c>
    </row>
    <row r="779" spans="5:9" x14ac:dyDescent="0.25">
      <c r="E779">
        <f t="shared" si="64"/>
        <v>769</v>
      </c>
      <c r="F779" s="39">
        <f t="shared" ca="1" si="60"/>
        <v>1.7864937921800816</v>
      </c>
      <c r="G779" s="42">
        <f t="shared" ca="1" si="61"/>
        <v>80.808319973222368</v>
      </c>
      <c r="H779" s="42">
        <f t="shared" ca="1" si="62"/>
        <v>52.808319973222368</v>
      </c>
      <c r="I779" s="42">
        <f t="shared" ca="1" si="63"/>
        <v>0</v>
      </c>
    </row>
    <row r="780" spans="5:9" x14ac:dyDescent="0.25">
      <c r="E780">
        <f t="shared" si="64"/>
        <v>770</v>
      </c>
      <c r="F780" s="39">
        <f t="shared" ref="F780:F843" ca="1" si="65">_xlfn.NORM.INV(RAND(),$E$45,$E$46)</f>
        <v>32.149318011176454</v>
      </c>
      <c r="G780" s="42">
        <f t="shared" ref="G780:G843" ca="1" si="66">$E$39*(1+F780)</f>
        <v>961.33022232411713</v>
      </c>
      <c r="H780" s="42">
        <f t="shared" ref="H780:H843" ca="1" si="67">MAX(G780-$E$38)</f>
        <v>933.33022232411713</v>
      </c>
      <c r="I780" s="42">
        <f t="shared" ref="I780:I843" ca="1" si="68">MAX($E$38-$H$43,0)</f>
        <v>0</v>
      </c>
    </row>
    <row r="781" spans="5:9" x14ac:dyDescent="0.25">
      <c r="E781">
        <f t="shared" ref="E781:E844" si="69">E780+1</f>
        <v>771</v>
      </c>
      <c r="F781" s="39">
        <f t="shared" ca="1" si="65"/>
        <v>10.401429709252938</v>
      </c>
      <c r="G781" s="42">
        <f t="shared" ca="1" si="66"/>
        <v>330.64146156833522</v>
      </c>
      <c r="H781" s="42">
        <f t="shared" ca="1" si="67"/>
        <v>302.64146156833522</v>
      </c>
      <c r="I781" s="42">
        <f t="shared" ca="1" si="68"/>
        <v>0</v>
      </c>
    </row>
    <row r="782" spans="5:9" x14ac:dyDescent="0.25">
      <c r="E782">
        <f t="shared" si="69"/>
        <v>772</v>
      </c>
      <c r="F782" s="39">
        <f t="shared" ca="1" si="65"/>
        <v>17.18042743554556</v>
      </c>
      <c r="G782" s="42">
        <f t="shared" ca="1" si="66"/>
        <v>527.2323956308212</v>
      </c>
      <c r="H782" s="42">
        <f t="shared" ca="1" si="67"/>
        <v>499.2323956308212</v>
      </c>
      <c r="I782" s="42">
        <f t="shared" ca="1" si="68"/>
        <v>0</v>
      </c>
    </row>
    <row r="783" spans="5:9" x14ac:dyDescent="0.25">
      <c r="E783">
        <f t="shared" si="69"/>
        <v>773</v>
      </c>
      <c r="F783" s="39">
        <f t="shared" ca="1" si="65"/>
        <v>56.39418701211698</v>
      </c>
      <c r="G783" s="42">
        <f t="shared" ca="1" si="66"/>
        <v>1664.4314233513924</v>
      </c>
      <c r="H783" s="42">
        <f t="shared" ca="1" si="67"/>
        <v>1636.4314233513924</v>
      </c>
      <c r="I783" s="42">
        <f t="shared" ca="1" si="68"/>
        <v>0</v>
      </c>
    </row>
    <row r="784" spans="5:9" x14ac:dyDescent="0.25">
      <c r="E784">
        <f t="shared" si="69"/>
        <v>774</v>
      </c>
      <c r="F784" s="39">
        <f t="shared" ca="1" si="65"/>
        <v>58.389765585598525</v>
      </c>
      <c r="G784" s="42">
        <f t="shared" ca="1" si="66"/>
        <v>1722.3032019823572</v>
      </c>
      <c r="H784" s="42">
        <f t="shared" ca="1" si="67"/>
        <v>1694.3032019823572</v>
      </c>
      <c r="I784" s="42">
        <f t="shared" ca="1" si="68"/>
        <v>0</v>
      </c>
    </row>
    <row r="785" spans="5:9" x14ac:dyDescent="0.25">
      <c r="E785">
        <f t="shared" si="69"/>
        <v>775</v>
      </c>
      <c r="F785" s="39">
        <f t="shared" ca="1" si="65"/>
        <v>62.941878495847178</v>
      </c>
      <c r="G785" s="42">
        <f t="shared" ca="1" si="66"/>
        <v>1854.3144763795681</v>
      </c>
      <c r="H785" s="42">
        <f t="shared" ca="1" si="67"/>
        <v>1826.3144763795681</v>
      </c>
      <c r="I785" s="42">
        <f t="shared" ca="1" si="68"/>
        <v>0</v>
      </c>
    </row>
    <row r="786" spans="5:9" x14ac:dyDescent="0.25">
      <c r="E786">
        <f t="shared" si="69"/>
        <v>776</v>
      </c>
      <c r="F786" s="39">
        <f t="shared" ca="1" si="65"/>
        <v>51.751191272759769</v>
      </c>
      <c r="G786" s="42">
        <f t="shared" ca="1" si="66"/>
        <v>1529.7845469100332</v>
      </c>
      <c r="H786" s="42">
        <f t="shared" ca="1" si="67"/>
        <v>1501.7845469100332</v>
      </c>
      <c r="I786" s="42">
        <f t="shared" ca="1" si="68"/>
        <v>0</v>
      </c>
    </row>
    <row r="787" spans="5:9" x14ac:dyDescent="0.25">
      <c r="E787">
        <f t="shared" si="69"/>
        <v>777</v>
      </c>
      <c r="F787" s="39">
        <f t="shared" ca="1" si="65"/>
        <v>102.38864644012683</v>
      </c>
      <c r="G787" s="42">
        <f t="shared" ca="1" si="66"/>
        <v>2998.2707467636783</v>
      </c>
      <c r="H787" s="42">
        <f t="shared" ca="1" si="67"/>
        <v>2970.2707467636783</v>
      </c>
      <c r="I787" s="42">
        <f t="shared" ca="1" si="68"/>
        <v>0</v>
      </c>
    </row>
    <row r="788" spans="5:9" x14ac:dyDescent="0.25">
      <c r="E788">
        <f t="shared" si="69"/>
        <v>778</v>
      </c>
      <c r="F788" s="39">
        <f t="shared" ca="1" si="65"/>
        <v>6.888689005835527</v>
      </c>
      <c r="G788" s="42">
        <f t="shared" ca="1" si="66"/>
        <v>228.77198116923029</v>
      </c>
      <c r="H788" s="42">
        <f t="shared" ca="1" si="67"/>
        <v>200.77198116923029</v>
      </c>
      <c r="I788" s="42">
        <f t="shared" ca="1" si="68"/>
        <v>0</v>
      </c>
    </row>
    <row r="789" spans="5:9" x14ac:dyDescent="0.25">
      <c r="E789">
        <f t="shared" si="69"/>
        <v>779</v>
      </c>
      <c r="F789" s="39">
        <f t="shared" ca="1" si="65"/>
        <v>-47.239385034959952</v>
      </c>
      <c r="G789" s="42">
        <f t="shared" ca="1" si="66"/>
        <v>-1340.9421660138387</v>
      </c>
      <c r="H789" s="42">
        <f t="shared" ca="1" si="67"/>
        <v>-1368.9421660138387</v>
      </c>
      <c r="I789" s="42">
        <f t="shared" ca="1" si="68"/>
        <v>0</v>
      </c>
    </row>
    <row r="790" spans="5:9" x14ac:dyDescent="0.25">
      <c r="E790">
        <f t="shared" si="69"/>
        <v>780</v>
      </c>
      <c r="F790" s="39">
        <f t="shared" ca="1" si="65"/>
        <v>104.15211668998111</v>
      </c>
      <c r="G790" s="42">
        <f t="shared" ca="1" si="66"/>
        <v>3049.4113840094524</v>
      </c>
      <c r="H790" s="42">
        <f t="shared" ca="1" si="67"/>
        <v>3021.4113840094524</v>
      </c>
      <c r="I790" s="42">
        <f t="shared" ca="1" si="68"/>
        <v>0</v>
      </c>
    </row>
    <row r="791" spans="5:9" x14ac:dyDescent="0.25">
      <c r="E791">
        <f t="shared" si="69"/>
        <v>781</v>
      </c>
      <c r="F791" s="39">
        <f t="shared" ca="1" si="65"/>
        <v>-10.022640884100888</v>
      </c>
      <c r="G791" s="42">
        <f t="shared" ca="1" si="66"/>
        <v>-261.65658563892572</v>
      </c>
      <c r="H791" s="42">
        <f t="shared" ca="1" si="67"/>
        <v>-289.65658563892572</v>
      </c>
      <c r="I791" s="42">
        <f t="shared" ca="1" si="68"/>
        <v>0</v>
      </c>
    </row>
    <row r="792" spans="5:9" x14ac:dyDescent="0.25">
      <c r="E792">
        <f t="shared" si="69"/>
        <v>782</v>
      </c>
      <c r="F792" s="39">
        <f t="shared" ca="1" si="65"/>
        <v>47.323938122851338</v>
      </c>
      <c r="G792" s="42">
        <f t="shared" ca="1" si="66"/>
        <v>1401.3942055626887</v>
      </c>
      <c r="H792" s="42">
        <f t="shared" ca="1" si="67"/>
        <v>1373.3942055626887</v>
      </c>
      <c r="I792" s="42">
        <f t="shared" ca="1" si="68"/>
        <v>0</v>
      </c>
    </row>
    <row r="793" spans="5:9" x14ac:dyDescent="0.25">
      <c r="E793">
        <f t="shared" si="69"/>
        <v>783</v>
      </c>
      <c r="F793" s="39">
        <f t="shared" ca="1" si="65"/>
        <v>-51.282291436265197</v>
      </c>
      <c r="G793" s="42">
        <f t="shared" ca="1" si="66"/>
        <v>-1458.1864516516907</v>
      </c>
      <c r="H793" s="42">
        <f t="shared" ca="1" si="67"/>
        <v>-1486.1864516516907</v>
      </c>
      <c r="I793" s="42">
        <f t="shared" ca="1" si="68"/>
        <v>0</v>
      </c>
    </row>
    <row r="794" spans="5:9" x14ac:dyDescent="0.25">
      <c r="E794">
        <f t="shared" si="69"/>
        <v>784</v>
      </c>
      <c r="F794" s="39">
        <f t="shared" ca="1" si="65"/>
        <v>21.412370166751842</v>
      </c>
      <c r="G794" s="42">
        <f t="shared" ca="1" si="66"/>
        <v>649.9587348358034</v>
      </c>
      <c r="H794" s="42">
        <f t="shared" ca="1" si="67"/>
        <v>621.9587348358034</v>
      </c>
      <c r="I794" s="42">
        <f t="shared" ca="1" si="68"/>
        <v>0</v>
      </c>
    </row>
    <row r="795" spans="5:9" x14ac:dyDescent="0.25">
      <c r="E795">
        <f t="shared" si="69"/>
        <v>785</v>
      </c>
      <c r="F795" s="39">
        <f t="shared" ca="1" si="65"/>
        <v>48.433745153686523</v>
      </c>
      <c r="G795" s="42">
        <f t="shared" ca="1" si="66"/>
        <v>1433.5786094569091</v>
      </c>
      <c r="H795" s="42">
        <f t="shared" ca="1" si="67"/>
        <v>1405.5786094569091</v>
      </c>
      <c r="I795" s="42">
        <f t="shared" ca="1" si="68"/>
        <v>0</v>
      </c>
    </row>
    <row r="796" spans="5:9" x14ac:dyDescent="0.25">
      <c r="E796">
        <f t="shared" si="69"/>
        <v>786</v>
      </c>
      <c r="F796" s="39">
        <f t="shared" ca="1" si="65"/>
        <v>98.247521677306324</v>
      </c>
      <c r="G796" s="42">
        <f t="shared" ca="1" si="66"/>
        <v>2878.1781286418832</v>
      </c>
      <c r="H796" s="42">
        <f t="shared" ca="1" si="67"/>
        <v>2850.1781286418832</v>
      </c>
      <c r="I796" s="42">
        <f t="shared" ca="1" si="68"/>
        <v>0</v>
      </c>
    </row>
    <row r="797" spans="5:9" x14ac:dyDescent="0.25">
      <c r="E797">
        <f t="shared" si="69"/>
        <v>787</v>
      </c>
      <c r="F797" s="39">
        <f t="shared" ca="1" si="65"/>
        <v>53.16881174303505</v>
      </c>
      <c r="G797" s="42">
        <f t="shared" ca="1" si="66"/>
        <v>1570.8955405480165</v>
      </c>
      <c r="H797" s="42">
        <f t="shared" ca="1" si="67"/>
        <v>1542.8955405480165</v>
      </c>
      <c r="I797" s="42">
        <f t="shared" ca="1" si="68"/>
        <v>0</v>
      </c>
    </row>
    <row r="798" spans="5:9" x14ac:dyDescent="0.25">
      <c r="E798">
        <f t="shared" si="69"/>
        <v>788</v>
      </c>
      <c r="F798" s="39">
        <f t="shared" ca="1" si="65"/>
        <v>49.267085445050078</v>
      </c>
      <c r="G798" s="42">
        <f t="shared" ca="1" si="66"/>
        <v>1457.7454779064524</v>
      </c>
      <c r="H798" s="42">
        <f t="shared" ca="1" si="67"/>
        <v>1429.7454779064524</v>
      </c>
      <c r="I798" s="42">
        <f t="shared" ca="1" si="68"/>
        <v>0</v>
      </c>
    </row>
    <row r="799" spans="5:9" x14ac:dyDescent="0.25">
      <c r="E799">
        <f t="shared" si="69"/>
        <v>789</v>
      </c>
      <c r="F799" s="39">
        <f t="shared" ca="1" si="65"/>
        <v>-0.13912906506786982</v>
      </c>
      <c r="G799" s="42">
        <f t="shared" ca="1" si="66"/>
        <v>24.965257113031775</v>
      </c>
      <c r="H799" s="42">
        <f t="shared" ca="1" si="67"/>
        <v>-3.0347428869682247</v>
      </c>
      <c r="I799" s="42">
        <f t="shared" ca="1" si="68"/>
        <v>0</v>
      </c>
    </row>
    <row r="800" spans="5:9" x14ac:dyDescent="0.25">
      <c r="E800">
        <f t="shared" si="69"/>
        <v>790</v>
      </c>
      <c r="F800" s="39">
        <f t="shared" ca="1" si="65"/>
        <v>-30.031080437077492</v>
      </c>
      <c r="G800" s="42">
        <f t="shared" ca="1" si="66"/>
        <v>-841.9013326752472</v>
      </c>
      <c r="H800" s="42">
        <f t="shared" ca="1" si="67"/>
        <v>-869.9013326752472</v>
      </c>
      <c r="I800" s="42">
        <f t="shared" ca="1" si="68"/>
        <v>0</v>
      </c>
    </row>
    <row r="801" spans="5:9" x14ac:dyDescent="0.25">
      <c r="E801">
        <f t="shared" si="69"/>
        <v>791</v>
      </c>
      <c r="F801" s="39">
        <f t="shared" ca="1" si="65"/>
        <v>33.272134308597131</v>
      </c>
      <c r="G801" s="42">
        <f t="shared" ca="1" si="66"/>
        <v>993.89189494931679</v>
      </c>
      <c r="H801" s="42">
        <f t="shared" ca="1" si="67"/>
        <v>965.89189494931679</v>
      </c>
      <c r="I801" s="42">
        <f t="shared" ca="1" si="68"/>
        <v>0</v>
      </c>
    </row>
    <row r="802" spans="5:9" x14ac:dyDescent="0.25">
      <c r="E802">
        <f t="shared" si="69"/>
        <v>792</v>
      </c>
      <c r="F802" s="39">
        <f t="shared" ca="1" si="65"/>
        <v>31.26163992308658</v>
      </c>
      <c r="G802" s="42">
        <f t="shared" ca="1" si="66"/>
        <v>935.58755776951068</v>
      </c>
      <c r="H802" s="42">
        <f t="shared" ca="1" si="67"/>
        <v>907.58755776951068</v>
      </c>
      <c r="I802" s="42">
        <f t="shared" ca="1" si="68"/>
        <v>0</v>
      </c>
    </row>
    <row r="803" spans="5:9" x14ac:dyDescent="0.25">
      <c r="E803">
        <f t="shared" si="69"/>
        <v>793</v>
      </c>
      <c r="F803" s="39">
        <f t="shared" ca="1" si="65"/>
        <v>51.927993805859607</v>
      </c>
      <c r="G803" s="42">
        <f t="shared" ca="1" si="66"/>
        <v>1534.9118203699286</v>
      </c>
      <c r="H803" s="42">
        <f t="shared" ca="1" si="67"/>
        <v>1506.9118203699286</v>
      </c>
      <c r="I803" s="42">
        <f t="shared" ca="1" si="68"/>
        <v>0</v>
      </c>
    </row>
    <row r="804" spans="5:9" x14ac:dyDescent="0.25">
      <c r="E804">
        <f t="shared" si="69"/>
        <v>794</v>
      </c>
      <c r="F804" s="39">
        <f t="shared" ca="1" si="65"/>
        <v>100.92071329739969</v>
      </c>
      <c r="G804" s="42">
        <f t="shared" ca="1" si="66"/>
        <v>2955.7006856245907</v>
      </c>
      <c r="H804" s="42">
        <f t="shared" ca="1" si="67"/>
        <v>2927.7006856245907</v>
      </c>
      <c r="I804" s="42">
        <f t="shared" ca="1" si="68"/>
        <v>0</v>
      </c>
    </row>
    <row r="805" spans="5:9" x14ac:dyDescent="0.25">
      <c r="E805">
        <f t="shared" si="69"/>
        <v>795</v>
      </c>
      <c r="F805" s="39">
        <f t="shared" ca="1" si="65"/>
        <v>2.101731138950008</v>
      </c>
      <c r="G805" s="42">
        <f t="shared" ca="1" si="66"/>
        <v>89.950203029550238</v>
      </c>
      <c r="H805" s="42">
        <f t="shared" ca="1" si="67"/>
        <v>61.950203029550238</v>
      </c>
      <c r="I805" s="42">
        <f t="shared" ca="1" si="68"/>
        <v>0</v>
      </c>
    </row>
    <row r="806" spans="5:9" x14ac:dyDescent="0.25">
      <c r="E806">
        <f t="shared" si="69"/>
        <v>796</v>
      </c>
      <c r="F806" s="39">
        <f t="shared" ca="1" si="65"/>
        <v>-52.334743576608219</v>
      </c>
      <c r="G806" s="42">
        <f t="shared" ca="1" si="66"/>
        <v>-1488.7075637216383</v>
      </c>
      <c r="H806" s="42">
        <f t="shared" ca="1" si="67"/>
        <v>-1516.7075637216383</v>
      </c>
      <c r="I806" s="42">
        <f t="shared" ca="1" si="68"/>
        <v>0</v>
      </c>
    </row>
    <row r="807" spans="5:9" x14ac:dyDescent="0.25">
      <c r="E807">
        <f t="shared" si="69"/>
        <v>797</v>
      </c>
      <c r="F807" s="39">
        <f t="shared" ca="1" si="65"/>
        <v>34.664585280704564</v>
      </c>
      <c r="G807" s="42">
        <f t="shared" ca="1" si="66"/>
        <v>1034.2729731404324</v>
      </c>
      <c r="H807" s="42">
        <f t="shared" ca="1" si="67"/>
        <v>1006.2729731404324</v>
      </c>
      <c r="I807" s="42">
        <f t="shared" ca="1" si="68"/>
        <v>0</v>
      </c>
    </row>
    <row r="808" spans="5:9" x14ac:dyDescent="0.25">
      <c r="E808">
        <f t="shared" si="69"/>
        <v>798</v>
      </c>
      <c r="F808" s="39">
        <f t="shared" ca="1" si="65"/>
        <v>9.1352599845116131</v>
      </c>
      <c r="G808" s="42">
        <f t="shared" ca="1" si="66"/>
        <v>293.9225395508368</v>
      </c>
      <c r="H808" s="42">
        <f t="shared" ca="1" si="67"/>
        <v>265.9225395508368</v>
      </c>
      <c r="I808" s="42">
        <f t="shared" ca="1" si="68"/>
        <v>0</v>
      </c>
    </row>
    <row r="809" spans="5:9" x14ac:dyDescent="0.25">
      <c r="E809">
        <f t="shared" si="69"/>
        <v>799</v>
      </c>
      <c r="F809" s="39">
        <f t="shared" ca="1" si="65"/>
        <v>17.231835483410798</v>
      </c>
      <c r="G809" s="42">
        <f t="shared" ca="1" si="66"/>
        <v>528.72322901891312</v>
      </c>
      <c r="H809" s="42">
        <f t="shared" ca="1" si="67"/>
        <v>500.72322901891312</v>
      </c>
      <c r="I809" s="42">
        <f t="shared" ca="1" si="68"/>
        <v>0</v>
      </c>
    </row>
    <row r="810" spans="5:9" x14ac:dyDescent="0.25">
      <c r="E810">
        <f t="shared" si="69"/>
        <v>800</v>
      </c>
      <c r="F810" s="39">
        <f t="shared" ca="1" si="65"/>
        <v>27.058360191164333</v>
      </c>
      <c r="G810" s="42">
        <f t="shared" ca="1" si="66"/>
        <v>813.69244554376564</v>
      </c>
      <c r="H810" s="42">
        <f t="shared" ca="1" si="67"/>
        <v>785.69244554376564</v>
      </c>
      <c r="I810" s="42">
        <f t="shared" ca="1" si="68"/>
        <v>0</v>
      </c>
    </row>
    <row r="811" spans="5:9" x14ac:dyDescent="0.25">
      <c r="E811">
        <f t="shared" si="69"/>
        <v>801</v>
      </c>
      <c r="F811" s="39">
        <f t="shared" ca="1" si="65"/>
        <v>99.248358197666761</v>
      </c>
      <c r="G811" s="42">
        <f t="shared" ca="1" si="66"/>
        <v>2907.2023877323359</v>
      </c>
      <c r="H811" s="42">
        <f t="shared" ca="1" si="67"/>
        <v>2879.2023877323359</v>
      </c>
      <c r="I811" s="42">
        <f t="shared" ca="1" si="68"/>
        <v>0</v>
      </c>
    </row>
    <row r="812" spans="5:9" x14ac:dyDescent="0.25">
      <c r="E812">
        <f t="shared" si="69"/>
        <v>802</v>
      </c>
      <c r="F812" s="39">
        <f t="shared" ca="1" si="65"/>
        <v>16.422546645943683</v>
      </c>
      <c r="G812" s="42">
        <f t="shared" ca="1" si="66"/>
        <v>505.25385273236679</v>
      </c>
      <c r="H812" s="42">
        <f t="shared" ca="1" si="67"/>
        <v>477.25385273236679</v>
      </c>
      <c r="I812" s="42">
        <f t="shared" ca="1" si="68"/>
        <v>0</v>
      </c>
    </row>
    <row r="813" spans="5:9" x14ac:dyDescent="0.25">
      <c r="E813">
        <f t="shared" si="69"/>
        <v>803</v>
      </c>
      <c r="F813" s="39">
        <f t="shared" ca="1" si="65"/>
        <v>15.420987737144923</v>
      </c>
      <c r="G813" s="42">
        <f t="shared" ca="1" si="66"/>
        <v>476.20864437720275</v>
      </c>
      <c r="H813" s="42">
        <f t="shared" ca="1" si="67"/>
        <v>448.20864437720275</v>
      </c>
      <c r="I813" s="42">
        <f t="shared" ca="1" si="68"/>
        <v>0</v>
      </c>
    </row>
    <row r="814" spans="5:9" x14ac:dyDescent="0.25">
      <c r="E814">
        <f t="shared" si="69"/>
        <v>804</v>
      </c>
      <c r="F814" s="39">
        <f t="shared" ca="1" si="65"/>
        <v>49.477728661303772</v>
      </c>
      <c r="G814" s="42">
        <f t="shared" ca="1" si="66"/>
        <v>1463.8541311778094</v>
      </c>
      <c r="H814" s="42">
        <f t="shared" ca="1" si="67"/>
        <v>1435.8541311778094</v>
      </c>
      <c r="I814" s="42">
        <f t="shared" ca="1" si="68"/>
        <v>0</v>
      </c>
    </row>
    <row r="815" spans="5:9" x14ac:dyDescent="0.25">
      <c r="E815">
        <f t="shared" si="69"/>
        <v>805</v>
      </c>
      <c r="F815" s="39">
        <f t="shared" ca="1" si="65"/>
        <v>30.431157807115682</v>
      </c>
      <c r="G815" s="42">
        <f t="shared" ca="1" si="66"/>
        <v>911.5035764063548</v>
      </c>
      <c r="H815" s="42">
        <f t="shared" ca="1" si="67"/>
        <v>883.5035764063548</v>
      </c>
      <c r="I815" s="42">
        <f t="shared" ca="1" si="68"/>
        <v>0</v>
      </c>
    </row>
    <row r="816" spans="5:9" x14ac:dyDescent="0.25">
      <c r="E816">
        <f t="shared" si="69"/>
        <v>806</v>
      </c>
      <c r="F816" s="39">
        <f t="shared" ca="1" si="65"/>
        <v>79.331395498378484</v>
      </c>
      <c r="G816" s="42">
        <f t="shared" ca="1" si="66"/>
        <v>2329.6104694529758</v>
      </c>
      <c r="H816" s="42">
        <f t="shared" ca="1" si="67"/>
        <v>2301.6104694529758</v>
      </c>
      <c r="I816" s="42">
        <f t="shared" ca="1" si="68"/>
        <v>0</v>
      </c>
    </row>
    <row r="817" spans="5:9" x14ac:dyDescent="0.25">
      <c r="E817">
        <f t="shared" si="69"/>
        <v>807</v>
      </c>
      <c r="F817" s="39">
        <f t="shared" ca="1" si="65"/>
        <v>19.868121252603355</v>
      </c>
      <c r="G817" s="42">
        <f t="shared" ca="1" si="66"/>
        <v>605.17551632549726</v>
      </c>
      <c r="H817" s="42">
        <f t="shared" ca="1" si="67"/>
        <v>577.17551632549726</v>
      </c>
      <c r="I817" s="42">
        <f t="shared" ca="1" si="68"/>
        <v>0</v>
      </c>
    </row>
    <row r="818" spans="5:9" x14ac:dyDescent="0.25">
      <c r="E818">
        <f t="shared" si="69"/>
        <v>808</v>
      </c>
      <c r="F818" s="39">
        <f t="shared" ca="1" si="65"/>
        <v>49.143599653033874</v>
      </c>
      <c r="G818" s="42">
        <f t="shared" ca="1" si="66"/>
        <v>1454.1643899379824</v>
      </c>
      <c r="H818" s="42">
        <f t="shared" ca="1" si="67"/>
        <v>1426.1643899379824</v>
      </c>
      <c r="I818" s="42">
        <f t="shared" ca="1" si="68"/>
        <v>0</v>
      </c>
    </row>
    <row r="819" spans="5:9" x14ac:dyDescent="0.25">
      <c r="E819">
        <f t="shared" si="69"/>
        <v>809</v>
      </c>
      <c r="F819" s="39">
        <f t="shared" ca="1" si="65"/>
        <v>19.282550178060553</v>
      </c>
      <c r="G819" s="42">
        <f t="shared" ca="1" si="66"/>
        <v>588.19395516375607</v>
      </c>
      <c r="H819" s="42">
        <f t="shared" ca="1" si="67"/>
        <v>560.19395516375607</v>
      </c>
      <c r="I819" s="42">
        <f t="shared" ca="1" si="68"/>
        <v>0</v>
      </c>
    </row>
    <row r="820" spans="5:9" x14ac:dyDescent="0.25">
      <c r="E820">
        <f t="shared" si="69"/>
        <v>810</v>
      </c>
      <c r="F820" s="39">
        <f t="shared" ca="1" si="65"/>
        <v>56.715760070474779</v>
      </c>
      <c r="G820" s="42">
        <f t="shared" ca="1" si="66"/>
        <v>1673.7570420437687</v>
      </c>
      <c r="H820" s="42">
        <f t="shared" ca="1" si="67"/>
        <v>1645.7570420437687</v>
      </c>
      <c r="I820" s="42">
        <f t="shared" ca="1" si="68"/>
        <v>0</v>
      </c>
    </row>
    <row r="821" spans="5:9" x14ac:dyDescent="0.25">
      <c r="E821">
        <f t="shared" si="69"/>
        <v>811</v>
      </c>
      <c r="F821" s="39">
        <f t="shared" ca="1" si="65"/>
        <v>37.967279236162355</v>
      </c>
      <c r="G821" s="42">
        <f t="shared" ca="1" si="66"/>
        <v>1130.0510978487082</v>
      </c>
      <c r="H821" s="42">
        <f t="shared" ca="1" si="67"/>
        <v>1102.0510978487082</v>
      </c>
      <c r="I821" s="42">
        <f t="shared" ca="1" si="68"/>
        <v>0</v>
      </c>
    </row>
    <row r="822" spans="5:9" x14ac:dyDescent="0.25">
      <c r="E822">
        <f t="shared" si="69"/>
        <v>812</v>
      </c>
      <c r="F822" s="39">
        <f t="shared" ca="1" si="65"/>
        <v>4.8897453753607287</v>
      </c>
      <c r="G822" s="42">
        <f t="shared" ca="1" si="66"/>
        <v>170.80261588546114</v>
      </c>
      <c r="H822" s="42">
        <f t="shared" ca="1" si="67"/>
        <v>142.80261588546114</v>
      </c>
      <c r="I822" s="42">
        <f t="shared" ca="1" si="68"/>
        <v>0</v>
      </c>
    </row>
    <row r="823" spans="5:9" x14ac:dyDescent="0.25">
      <c r="E823">
        <f t="shared" si="69"/>
        <v>813</v>
      </c>
      <c r="F823" s="39">
        <f t="shared" ca="1" si="65"/>
        <v>50.682837664400964</v>
      </c>
      <c r="G823" s="42">
        <f t="shared" ca="1" si="66"/>
        <v>1498.802292267628</v>
      </c>
      <c r="H823" s="42">
        <f t="shared" ca="1" si="67"/>
        <v>1470.802292267628</v>
      </c>
      <c r="I823" s="42">
        <f t="shared" ca="1" si="68"/>
        <v>0</v>
      </c>
    </row>
    <row r="824" spans="5:9" x14ac:dyDescent="0.25">
      <c r="E824">
        <f t="shared" si="69"/>
        <v>814</v>
      </c>
      <c r="F824" s="39">
        <f t="shared" ca="1" si="65"/>
        <v>-36.386088437436172</v>
      </c>
      <c r="G824" s="42">
        <f t="shared" ca="1" si="66"/>
        <v>-1026.196564685649</v>
      </c>
      <c r="H824" s="42">
        <f t="shared" ca="1" si="67"/>
        <v>-1054.196564685649</v>
      </c>
      <c r="I824" s="42">
        <f t="shared" ca="1" si="68"/>
        <v>0</v>
      </c>
    </row>
    <row r="825" spans="5:9" x14ac:dyDescent="0.25">
      <c r="E825">
        <f t="shared" si="69"/>
        <v>815</v>
      </c>
      <c r="F825" s="39">
        <f t="shared" ca="1" si="65"/>
        <v>70.059883441401723</v>
      </c>
      <c r="G825" s="42">
        <f t="shared" ca="1" si="66"/>
        <v>2060.7366198006498</v>
      </c>
      <c r="H825" s="42">
        <f t="shared" ca="1" si="67"/>
        <v>2032.7366198006498</v>
      </c>
      <c r="I825" s="42">
        <f t="shared" ca="1" si="68"/>
        <v>0</v>
      </c>
    </row>
    <row r="826" spans="5:9" x14ac:dyDescent="0.25">
      <c r="E826">
        <f t="shared" si="69"/>
        <v>816</v>
      </c>
      <c r="F826" s="39">
        <f t="shared" ca="1" si="65"/>
        <v>31.575042270916807</v>
      </c>
      <c r="G826" s="42">
        <f t="shared" ca="1" si="66"/>
        <v>944.67622585658751</v>
      </c>
      <c r="H826" s="42">
        <f t="shared" ca="1" si="67"/>
        <v>916.67622585658751</v>
      </c>
      <c r="I826" s="42">
        <f t="shared" ca="1" si="68"/>
        <v>0</v>
      </c>
    </row>
    <row r="827" spans="5:9" x14ac:dyDescent="0.25">
      <c r="E827">
        <f t="shared" si="69"/>
        <v>817</v>
      </c>
      <c r="F827" s="39">
        <f t="shared" ca="1" si="65"/>
        <v>55.323101815396775</v>
      </c>
      <c r="G827" s="42">
        <f t="shared" ca="1" si="66"/>
        <v>1633.3699526465066</v>
      </c>
      <c r="H827" s="42">
        <f t="shared" ca="1" si="67"/>
        <v>1605.3699526465066</v>
      </c>
      <c r="I827" s="42">
        <f t="shared" ca="1" si="68"/>
        <v>0</v>
      </c>
    </row>
    <row r="828" spans="5:9" x14ac:dyDescent="0.25">
      <c r="E828">
        <f t="shared" si="69"/>
        <v>818</v>
      </c>
      <c r="F828" s="39">
        <f t="shared" ca="1" si="65"/>
        <v>48.660799791248145</v>
      </c>
      <c r="G828" s="42">
        <f t="shared" ca="1" si="66"/>
        <v>1440.1631939461963</v>
      </c>
      <c r="H828" s="42">
        <f t="shared" ca="1" si="67"/>
        <v>1412.1631939461963</v>
      </c>
      <c r="I828" s="42">
        <f t="shared" ca="1" si="68"/>
        <v>0</v>
      </c>
    </row>
    <row r="829" spans="5:9" x14ac:dyDescent="0.25">
      <c r="E829">
        <f t="shared" si="69"/>
        <v>819</v>
      </c>
      <c r="F829" s="39">
        <f t="shared" ca="1" si="65"/>
        <v>66.825840641038383</v>
      </c>
      <c r="G829" s="42">
        <f t="shared" ca="1" si="66"/>
        <v>1966.9493785901132</v>
      </c>
      <c r="H829" s="42">
        <f t="shared" ca="1" si="67"/>
        <v>1938.9493785901132</v>
      </c>
      <c r="I829" s="42">
        <f t="shared" ca="1" si="68"/>
        <v>0</v>
      </c>
    </row>
    <row r="830" spans="5:9" x14ac:dyDescent="0.25">
      <c r="E830">
        <f t="shared" si="69"/>
        <v>820</v>
      </c>
      <c r="F830" s="39">
        <f t="shared" ca="1" si="65"/>
        <v>42.288527731242894</v>
      </c>
      <c r="G830" s="42">
        <f t="shared" ca="1" si="66"/>
        <v>1255.3673042060439</v>
      </c>
      <c r="H830" s="42">
        <f t="shared" ca="1" si="67"/>
        <v>1227.3673042060439</v>
      </c>
      <c r="I830" s="42">
        <f t="shared" ca="1" si="68"/>
        <v>0</v>
      </c>
    </row>
    <row r="831" spans="5:9" x14ac:dyDescent="0.25">
      <c r="E831">
        <f t="shared" si="69"/>
        <v>821</v>
      </c>
      <c r="F831" s="39">
        <f t="shared" ca="1" si="65"/>
        <v>124.29748307512268</v>
      </c>
      <c r="G831" s="42">
        <f t="shared" ca="1" si="66"/>
        <v>3633.6270091785577</v>
      </c>
      <c r="H831" s="42">
        <f t="shared" ca="1" si="67"/>
        <v>3605.6270091785577</v>
      </c>
      <c r="I831" s="42">
        <f t="shared" ca="1" si="68"/>
        <v>0</v>
      </c>
    </row>
    <row r="832" spans="5:9" x14ac:dyDescent="0.25">
      <c r="E832">
        <f t="shared" si="69"/>
        <v>822</v>
      </c>
      <c r="F832" s="39">
        <f t="shared" ca="1" si="65"/>
        <v>-3.9137485128253147</v>
      </c>
      <c r="G832" s="42">
        <f t="shared" ca="1" si="66"/>
        <v>-84.498706871934132</v>
      </c>
      <c r="H832" s="42">
        <f t="shared" ca="1" si="67"/>
        <v>-112.49870687193413</v>
      </c>
      <c r="I832" s="42">
        <f t="shared" ca="1" si="68"/>
        <v>0</v>
      </c>
    </row>
    <row r="833" spans="5:9" x14ac:dyDescent="0.25">
      <c r="E833">
        <f t="shared" si="69"/>
        <v>823</v>
      </c>
      <c r="F833" s="39">
        <f t="shared" ca="1" si="65"/>
        <v>-16.302482588037265</v>
      </c>
      <c r="G833" s="42">
        <f t="shared" ca="1" si="66"/>
        <v>-443.77199505308067</v>
      </c>
      <c r="H833" s="42">
        <f t="shared" ca="1" si="67"/>
        <v>-471.77199505308067</v>
      </c>
      <c r="I833" s="42">
        <f t="shared" ca="1" si="68"/>
        <v>0</v>
      </c>
    </row>
    <row r="834" spans="5:9" x14ac:dyDescent="0.25">
      <c r="E834">
        <f t="shared" si="69"/>
        <v>824</v>
      </c>
      <c r="F834" s="39">
        <f t="shared" ca="1" si="65"/>
        <v>55.109347586235749</v>
      </c>
      <c r="G834" s="42">
        <f t="shared" ca="1" si="66"/>
        <v>1627.1710800008368</v>
      </c>
      <c r="H834" s="42">
        <f t="shared" ca="1" si="67"/>
        <v>1599.1710800008368</v>
      </c>
      <c r="I834" s="42">
        <f t="shared" ca="1" si="68"/>
        <v>0</v>
      </c>
    </row>
    <row r="835" spans="5:9" x14ac:dyDescent="0.25">
      <c r="E835">
        <f t="shared" si="69"/>
        <v>825</v>
      </c>
      <c r="F835" s="39">
        <f t="shared" ca="1" si="65"/>
        <v>67.359941169519345</v>
      </c>
      <c r="G835" s="42">
        <f t="shared" ca="1" si="66"/>
        <v>1982.438293916061</v>
      </c>
      <c r="H835" s="42">
        <f t="shared" ca="1" si="67"/>
        <v>1954.438293916061</v>
      </c>
      <c r="I835" s="42">
        <f t="shared" ca="1" si="68"/>
        <v>0</v>
      </c>
    </row>
    <row r="836" spans="5:9" x14ac:dyDescent="0.25">
      <c r="E836">
        <f t="shared" si="69"/>
        <v>826</v>
      </c>
      <c r="F836" s="39">
        <f t="shared" ca="1" si="65"/>
        <v>55.185738690400107</v>
      </c>
      <c r="G836" s="42">
        <f t="shared" ca="1" si="66"/>
        <v>1629.386422021603</v>
      </c>
      <c r="H836" s="42">
        <f t="shared" ca="1" si="67"/>
        <v>1601.386422021603</v>
      </c>
      <c r="I836" s="42">
        <f t="shared" ca="1" si="68"/>
        <v>0</v>
      </c>
    </row>
    <row r="837" spans="5:9" x14ac:dyDescent="0.25">
      <c r="E837">
        <f t="shared" si="69"/>
        <v>827</v>
      </c>
      <c r="F837" s="39">
        <f t="shared" ca="1" si="65"/>
        <v>40.45208341545063</v>
      </c>
      <c r="G837" s="42">
        <f t="shared" ca="1" si="66"/>
        <v>1202.1104190480683</v>
      </c>
      <c r="H837" s="42">
        <f t="shared" ca="1" si="67"/>
        <v>1174.1104190480683</v>
      </c>
      <c r="I837" s="42">
        <f t="shared" ca="1" si="68"/>
        <v>0</v>
      </c>
    </row>
    <row r="838" spans="5:9" x14ac:dyDescent="0.25">
      <c r="E838">
        <f t="shared" si="69"/>
        <v>828</v>
      </c>
      <c r="F838" s="39">
        <f t="shared" ca="1" si="65"/>
        <v>58.650004512569154</v>
      </c>
      <c r="G838" s="42">
        <f t="shared" ca="1" si="66"/>
        <v>1729.8501308645054</v>
      </c>
      <c r="H838" s="42">
        <f t="shared" ca="1" si="67"/>
        <v>1701.8501308645054</v>
      </c>
      <c r="I838" s="42">
        <f t="shared" ca="1" si="68"/>
        <v>0</v>
      </c>
    </row>
    <row r="839" spans="5:9" x14ac:dyDescent="0.25">
      <c r="E839">
        <f t="shared" si="69"/>
        <v>829</v>
      </c>
      <c r="F839" s="39">
        <f t="shared" ca="1" si="65"/>
        <v>60.564986323781156</v>
      </c>
      <c r="G839" s="42">
        <f t="shared" ca="1" si="66"/>
        <v>1785.3846033896534</v>
      </c>
      <c r="H839" s="42">
        <f t="shared" ca="1" si="67"/>
        <v>1757.3846033896534</v>
      </c>
      <c r="I839" s="42">
        <f t="shared" ca="1" si="68"/>
        <v>0</v>
      </c>
    </row>
    <row r="840" spans="5:9" x14ac:dyDescent="0.25">
      <c r="E840">
        <f t="shared" si="69"/>
        <v>830</v>
      </c>
      <c r="F840" s="39">
        <f t="shared" ca="1" si="65"/>
        <v>32.422769340738178</v>
      </c>
      <c r="G840" s="42">
        <f t="shared" ca="1" si="66"/>
        <v>969.26031088140712</v>
      </c>
      <c r="H840" s="42">
        <f t="shared" ca="1" si="67"/>
        <v>941.26031088140712</v>
      </c>
      <c r="I840" s="42">
        <f t="shared" ca="1" si="68"/>
        <v>0</v>
      </c>
    </row>
    <row r="841" spans="5:9" x14ac:dyDescent="0.25">
      <c r="E841">
        <f t="shared" si="69"/>
        <v>831</v>
      </c>
      <c r="F841" s="39">
        <f t="shared" ca="1" si="65"/>
        <v>21.628297762615649</v>
      </c>
      <c r="G841" s="42">
        <f t="shared" ca="1" si="66"/>
        <v>656.22063511585384</v>
      </c>
      <c r="H841" s="42">
        <f t="shared" ca="1" si="67"/>
        <v>628.22063511585384</v>
      </c>
      <c r="I841" s="42">
        <f t="shared" ca="1" si="68"/>
        <v>0</v>
      </c>
    </row>
    <row r="842" spans="5:9" x14ac:dyDescent="0.25">
      <c r="E842">
        <f t="shared" si="69"/>
        <v>832</v>
      </c>
      <c r="F842" s="39">
        <f t="shared" ca="1" si="65"/>
        <v>21.820466181924587</v>
      </c>
      <c r="G842" s="42">
        <f t="shared" ca="1" si="66"/>
        <v>661.79351927581297</v>
      </c>
      <c r="H842" s="42">
        <f t="shared" ca="1" si="67"/>
        <v>633.79351927581297</v>
      </c>
      <c r="I842" s="42">
        <f t="shared" ca="1" si="68"/>
        <v>0</v>
      </c>
    </row>
    <row r="843" spans="5:9" x14ac:dyDescent="0.25">
      <c r="E843">
        <f t="shared" si="69"/>
        <v>833</v>
      </c>
      <c r="F843" s="39">
        <f t="shared" ca="1" si="65"/>
        <v>41.036322708806075</v>
      </c>
      <c r="G843" s="42">
        <f t="shared" ca="1" si="66"/>
        <v>1219.0533585553762</v>
      </c>
      <c r="H843" s="42">
        <f t="shared" ca="1" si="67"/>
        <v>1191.0533585553762</v>
      </c>
      <c r="I843" s="42">
        <f t="shared" ca="1" si="68"/>
        <v>0</v>
      </c>
    </row>
    <row r="844" spans="5:9" x14ac:dyDescent="0.25">
      <c r="E844">
        <f t="shared" si="69"/>
        <v>834</v>
      </c>
      <c r="F844" s="39">
        <f t="shared" ref="F844:F907" ca="1" si="70">_xlfn.NORM.INV(RAND(),$E$45,$E$46)</f>
        <v>67.318737431752339</v>
      </c>
      <c r="G844" s="42">
        <f t="shared" ref="G844:G907" ca="1" si="71">$E$39*(1+F844)</f>
        <v>1981.2433855208178</v>
      </c>
      <c r="H844" s="42">
        <f t="shared" ref="H844:H907" ca="1" si="72">MAX(G844-$E$38)</f>
        <v>1953.2433855208178</v>
      </c>
      <c r="I844" s="42">
        <f t="shared" ref="I844:I907" ca="1" si="73">MAX($E$38-$H$43,0)</f>
        <v>0</v>
      </c>
    </row>
    <row r="845" spans="5:9" x14ac:dyDescent="0.25">
      <c r="E845">
        <f t="shared" ref="E845:E908" si="74">E844+1</f>
        <v>835</v>
      </c>
      <c r="F845" s="39">
        <f t="shared" ca="1" si="70"/>
        <v>-11.012411489541499</v>
      </c>
      <c r="G845" s="42">
        <f t="shared" ca="1" si="71"/>
        <v>-290.35993319670348</v>
      </c>
      <c r="H845" s="42">
        <f t="shared" ca="1" si="72"/>
        <v>-318.35993319670348</v>
      </c>
      <c r="I845" s="42">
        <f t="shared" ca="1" si="73"/>
        <v>0</v>
      </c>
    </row>
    <row r="846" spans="5:9" x14ac:dyDescent="0.25">
      <c r="E846">
        <f t="shared" si="74"/>
        <v>836</v>
      </c>
      <c r="F846" s="39">
        <f t="shared" ca="1" si="70"/>
        <v>-6.1192201922022562</v>
      </c>
      <c r="G846" s="42">
        <f t="shared" ca="1" si="71"/>
        <v>-148.45738557386542</v>
      </c>
      <c r="H846" s="42">
        <f t="shared" ca="1" si="72"/>
        <v>-176.45738557386542</v>
      </c>
      <c r="I846" s="42">
        <f t="shared" ca="1" si="73"/>
        <v>0</v>
      </c>
    </row>
    <row r="847" spans="5:9" x14ac:dyDescent="0.25">
      <c r="E847">
        <f t="shared" si="74"/>
        <v>837</v>
      </c>
      <c r="F847" s="39">
        <f t="shared" ca="1" si="70"/>
        <v>35.510424343937679</v>
      </c>
      <c r="G847" s="42">
        <f t="shared" ca="1" si="71"/>
        <v>1058.8023059741927</v>
      </c>
      <c r="H847" s="42">
        <f t="shared" ca="1" si="72"/>
        <v>1030.8023059741927</v>
      </c>
      <c r="I847" s="42">
        <f t="shared" ca="1" si="73"/>
        <v>0</v>
      </c>
    </row>
    <row r="848" spans="5:9" x14ac:dyDescent="0.25">
      <c r="E848">
        <f t="shared" si="74"/>
        <v>838</v>
      </c>
      <c r="F848" s="39">
        <f t="shared" ca="1" si="70"/>
        <v>70.860799277561995</v>
      </c>
      <c r="G848" s="42">
        <f t="shared" ca="1" si="71"/>
        <v>2083.9631790492977</v>
      </c>
      <c r="H848" s="42">
        <f t="shared" ca="1" si="72"/>
        <v>2055.9631790492977</v>
      </c>
      <c r="I848" s="42">
        <f t="shared" ca="1" si="73"/>
        <v>0</v>
      </c>
    </row>
    <row r="849" spans="5:9" x14ac:dyDescent="0.25">
      <c r="E849">
        <f t="shared" si="74"/>
        <v>839</v>
      </c>
      <c r="F849" s="39">
        <f t="shared" ca="1" si="70"/>
        <v>7.4698613603723878</v>
      </c>
      <c r="G849" s="42">
        <f t="shared" ca="1" si="71"/>
        <v>245.62597945079924</v>
      </c>
      <c r="H849" s="42">
        <f t="shared" ca="1" si="72"/>
        <v>217.62597945079924</v>
      </c>
      <c r="I849" s="42">
        <f t="shared" ca="1" si="73"/>
        <v>0</v>
      </c>
    </row>
    <row r="850" spans="5:9" x14ac:dyDescent="0.25">
      <c r="E850">
        <f t="shared" si="74"/>
        <v>840</v>
      </c>
      <c r="F850" s="39">
        <f t="shared" ca="1" si="70"/>
        <v>46.455944042754538</v>
      </c>
      <c r="G850" s="42">
        <f t="shared" ca="1" si="71"/>
        <v>1376.2223772398816</v>
      </c>
      <c r="H850" s="42">
        <f t="shared" ca="1" si="72"/>
        <v>1348.2223772398816</v>
      </c>
      <c r="I850" s="42">
        <f t="shared" ca="1" si="73"/>
        <v>0</v>
      </c>
    </row>
    <row r="851" spans="5:9" x14ac:dyDescent="0.25">
      <c r="E851">
        <f t="shared" si="74"/>
        <v>841</v>
      </c>
      <c r="F851" s="39">
        <f t="shared" ca="1" si="70"/>
        <v>42.964270817459834</v>
      </c>
      <c r="G851" s="42">
        <f t="shared" ca="1" si="71"/>
        <v>1274.9638537063352</v>
      </c>
      <c r="H851" s="42">
        <f t="shared" ca="1" si="72"/>
        <v>1246.9638537063352</v>
      </c>
      <c r="I851" s="42">
        <f t="shared" ca="1" si="73"/>
        <v>0</v>
      </c>
    </row>
    <row r="852" spans="5:9" x14ac:dyDescent="0.25">
      <c r="E852">
        <f t="shared" si="74"/>
        <v>842</v>
      </c>
      <c r="F852" s="39">
        <f t="shared" ca="1" si="70"/>
        <v>81.801201349124199</v>
      </c>
      <c r="G852" s="42">
        <f t="shared" ca="1" si="71"/>
        <v>2401.2348391246019</v>
      </c>
      <c r="H852" s="42">
        <f t="shared" ca="1" si="72"/>
        <v>2373.2348391246019</v>
      </c>
      <c r="I852" s="42">
        <f t="shared" ca="1" si="73"/>
        <v>0</v>
      </c>
    </row>
    <row r="853" spans="5:9" x14ac:dyDescent="0.25">
      <c r="E853">
        <f t="shared" si="74"/>
        <v>843</v>
      </c>
      <c r="F853" s="39">
        <f t="shared" ca="1" si="70"/>
        <v>86.908465892455467</v>
      </c>
      <c r="G853" s="42">
        <f t="shared" ca="1" si="71"/>
        <v>2549.3455108812086</v>
      </c>
      <c r="H853" s="42">
        <f t="shared" ca="1" si="72"/>
        <v>2521.3455108812086</v>
      </c>
      <c r="I853" s="42">
        <f t="shared" ca="1" si="73"/>
        <v>0</v>
      </c>
    </row>
    <row r="854" spans="5:9" x14ac:dyDescent="0.25">
      <c r="E854">
        <f t="shared" si="74"/>
        <v>844</v>
      </c>
      <c r="F854" s="39">
        <f t="shared" ca="1" si="70"/>
        <v>26.230045893146382</v>
      </c>
      <c r="G854" s="42">
        <f t="shared" ca="1" si="71"/>
        <v>789.67133090124503</v>
      </c>
      <c r="H854" s="42">
        <f t="shared" ca="1" si="72"/>
        <v>761.67133090124503</v>
      </c>
      <c r="I854" s="42">
        <f t="shared" ca="1" si="73"/>
        <v>0</v>
      </c>
    </row>
    <row r="855" spans="5:9" x14ac:dyDescent="0.25">
      <c r="E855">
        <f t="shared" si="74"/>
        <v>845</v>
      </c>
      <c r="F855" s="39">
        <f t="shared" ca="1" si="70"/>
        <v>9.5199285167979255</v>
      </c>
      <c r="G855" s="42">
        <f t="shared" ca="1" si="71"/>
        <v>305.07792698713985</v>
      </c>
      <c r="H855" s="42">
        <f t="shared" ca="1" si="72"/>
        <v>277.07792698713985</v>
      </c>
      <c r="I855" s="42">
        <f t="shared" ca="1" si="73"/>
        <v>0</v>
      </c>
    </row>
    <row r="856" spans="5:9" x14ac:dyDescent="0.25">
      <c r="E856">
        <f t="shared" si="74"/>
        <v>846</v>
      </c>
      <c r="F856" s="39">
        <f t="shared" ca="1" si="70"/>
        <v>23.389305268816962</v>
      </c>
      <c r="G856" s="42">
        <f t="shared" ca="1" si="71"/>
        <v>707.2898527956919</v>
      </c>
      <c r="H856" s="42">
        <f t="shared" ca="1" si="72"/>
        <v>679.2898527956919</v>
      </c>
      <c r="I856" s="42">
        <f t="shared" ca="1" si="73"/>
        <v>0</v>
      </c>
    </row>
    <row r="857" spans="5:9" x14ac:dyDescent="0.25">
      <c r="E857">
        <f t="shared" si="74"/>
        <v>847</v>
      </c>
      <c r="F857" s="39">
        <f t="shared" ca="1" si="70"/>
        <v>58.033902885647805</v>
      </c>
      <c r="G857" s="42">
        <f t="shared" ca="1" si="71"/>
        <v>1711.9831836837864</v>
      </c>
      <c r="H857" s="42">
        <f t="shared" ca="1" si="72"/>
        <v>1683.9831836837864</v>
      </c>
      <c r="I857" s="42">
        <f t="shared" ca="1" si="73"/>
        <v>0</v>
      </c>
    </row>
    <row r="858" spans="5:9" x14ac:dyDescent="0.25">
      <c r="E858">
        <f t="shared" si="74"/>
        <v>848</v>
      </c>
      <c r="F858" s="39">
        <f t="shared" ca="1" si="70"/>
        <v>73.685977643871496</v>
      </c>
      <c r="G858" s="42">
        <f t="shared" ca="1" si="71"/>
        <v>2165.8933516722732</v>
      </c>
      <c r="H858" s="42">
        <f t="shared" ca="1" si="72"/>
        <v>2137.8933516722732</v>
      </c>
      <c r="I858" s="42">
        <f t="shared" ca="1" si="73"/>
        <v>0</v>
      </c>
    </row>
    <row r="859" spans="5:9" x14ac:dyDescent="0.25">
      <c r="E859">
        <f t="shared" si="74"/>
        <v>849</v>
      </c>
      <c r="F859" s="39">
        <f t="shared" ca="1" si="70"/>
        <v>88.264382333844637</v>
      </c>
      <c r="G859" s="42">
        <f t="shared" ca="1" si="71"/>
        <v>2588.6670876814946</v>
      </c>
      <c r="H859" s="42">
        <f t="shared" ca="1" si="72"/>
        <v>2560.6670876814946</v>
      </c>
      <c r="I859" s="42">
        <f t="shared" ca="1" si="73"/>
        <v>0</v>
      </c>
    </row>
    <row r="860" spans="5:9" x14ac:dyDescent="0.25">
      <c r="E860">
        <f t="shared" si="74"/>
        <v>850</v>
      </c>
      <c r="F860" s="39">
        <f t="shared" ca="1" si="70"/>
        <v>-8.3251922862985808</v>
      </c>
      <c r="G860" s="42">
        <f t="shared" ca="1" si="71"/>
        <v>-212.43057630265884</v>
      </c>
      <c r="H860" s="42">
        <f t="shared" ca="1" si="72"/>
        <v>-240.43057630265884</v>
      </c>
      <c r="I860" s="42">
        <f t="shared" ca="1" si="73"/>
        <v>0</v>
      </c>
    </row>
    <row r="861" spans="5:9" x14ac:dyDescent="0.25">
      <c r="E861">
        <f t="shared" si="74"/>
        <v>851</v>
      </c>
      <c r="F861" s="39">
        <f t="shared" ca="1" si="70"/>
        <v>100.62126393639873</v>
      </c>
      <c r="G861" s="42">
        <f t="shared" ca="1" si="71"/>
        <v>2947.0166541555632</v>
      </c>
      <c r="H861" s="42">
        <f t="shared" ca="1" si="72"/>
        <v>2919.0166541555632</v>
      </c>
      <c r="I861" s="42">
        <f t="shared" ca="1" si="73"/>
        <v>0</v>
      </c>
    </row>
    <row r="862" spans="5:9" x14ac:dyDescent="0.25">
      <c r="E862">
        <f t="shared" si="74"/>
        <v>852</v>
      </c>
      <c r="F862" s="39">
        <f t="shared" ca="1" si="70"/>
        <v>5.8392574665930184</v>
      </c>
      <c r="G862" s="42">
        <f t="shared" ca="1" si="71"/>
        <v>198.33846653119753</v>
      </c>
      <c r="H862" s="42">
        <f t="shared" ca="1" si="72"/>
        <v>170.33846653119753</v>
      </c>
      <c r="I862" s="42">
        <f t="shared" ca="1" si="73"/>
        <v>0</v>
      </c>
    </row>
    <row r="863" spans="5:9" x14ac:dyDescent="0.25">
      <c r="E863">
        <f t="shared" si="74"/>
        <v>853</v>
      </c>
      <c r="F863" s="39">
        <f t="shared" ca="1" si="70"/>
        <v>50.543646615716099</v>
      </c>
      <c r="G863" s="42">
        <f t="shared" ca="1" si="71"/>
        <v>1494.7657518557669</v>
      </c>
      <c r="H863" s="42">
        <f t="shared" ca="1" si="72"/>
        <v>1466.7657518557669</v>
      </c>
      <c r="I863" s="42">
        <f t="shared" ca="1" si="73"/>
        <v>0</v>
      </c>
    </row>
    <row r="864" spans="5:9" x14ac:dyDescent="0.25">
      <c r="E864">
        <f t="shared" si="74"/>
        <v>854</v>
      </c>
      <c r="F864" s="39">
        <f t="shared" ca="1" si="70"/>
        <v>9.5406538510262742</v>
      </c>
      <c r="G864" s="42">
        <f t="shared" ca="1" si="71"/>
        <v>305.67896167976193</v>
      </c>
      <c r="H864" s="42">
        <f t="shared" ca="1" si="72"/>
        <v>277.67896167976193</v>
      </c>
      <c r="I864" s="42">
        <f t="shared" ca="1" si="73"/>
        <v>0</v>
      </c>
    </row>
    <row r="865" spans="5:9" x14ac:dyDescent="0.25">
      <c r="E865">
        <f t="shared" si="74"/>
        <v>855</v>
      </c>
      <c r="F865" s="39">
        <f t="shared" ca="1" si="70"/>
        <v>55.791167773948963</v>
      </c>
      <c r="G865" s="42">
        <f t="shared" ca="1" si="71"/>
        <v>1646.94386544452</v>
      </c>
      <c r="H865" s="42">
        <f t="shared" ca="1" si="72"/>
        <v>1618.94386544452</v>
      </c>
      <c r="I865" s="42">
        <f t="shared" ca="1" si="73"/>
        <v>0</v>
      </c>
    </row>
    <row r="866" spans="5:9" x14ac:dyDescent="0.25">
      <c r="E866">
        <f t="shared" si="74"/>
        <v>856</v>
      </c>
      <c r="F866" s="39">
        <f t="shared" ca="1" si="70"/>
        <v>73.132682501985073</v>
      </c>
      <c r="G866" s="42">
        <f t="shared" ca="1" si="71"/>
        <v>2149.8477925575671</v>
      </c>
      <c r="H866" s="42">
        <f t="shared" ca="1" si="72"/>
        <v>2121.8477925575671</v>
      </c>
      <c r="I866" s="42">
        <f t="shared" ca="1" si="73"/>
        <v>0</v>
      </c>
    </row>
    <row r="867" spans="5:9" x14ac:dyDescent="0.25">
      <c r="E867">
        <f t="shared" si="74"/>
        <v>857</v>
      </c>
      <c r="F867" s="39">
        <f t="shared" ca="1" si="70"/>
        <v>66.378720252246097</v>
      </c>
      <c r="G867" s="42">
        <f t="shared" ca="1" si="71"/>
        <v>1953.9828873151368</v>
      </c>
      <c r="H867" s="42">
        <f t="shared" ca="1" si="72"/>
        <v>1925.9828873151368</v>
      </c>
      <c r="I867" s="42">
        <f t="shared" ca="1" si="73"/>
        <v>0</v>
      </c>
    </row>
    <row r="868" spans="5:9" x14ac:dyDescent="0.25">
      <c r="E868">
        <f t="shared" si="74"/>
        <v>858</v>
      </c>
      <c r="F868" s="39">
        <f t="shared" ca="1" si="70"/>
        <v>68.166667877039231</v>
      </c>
      <c r="G868" s="42">
        <f t="shared" ca="1" si="71"/>
        <v>2005.8333684341378</v>
      </c>
      <c r="H868" s="42">
        <f t="shared" ca="1" si="72"/>
        <v>1977.8333684341378</v>
      </c>
      <c r="I868" s="42">
        <f t="shared" ca="1" si="73"/>
        <v>0</v>
      </c>
    </row>
    <row r="869" spans="5:9" x14ac:dyDescent="0.25">
      <c r="E869">
        <f t="shared" si="74"/>
        <v>859</v>
      </c>
      <c r="F869" s="39">
        <f t="shared" ca="1" si="70"/>
        <v>13.267994685846503</v>
      </c>
      <c r="G869" s="42">
        <f t="shared" ca="1" si="71"/>
        <v>413.77184588954856</v>
      </c>
      <c r="H869" s="42">
        <f t="shared" ca="1" si="72"/>
        <v>385.77184588954856</v>
      </c>
      <c r="I869" s="42">
        <f t="shared" ca="1" si="73"/>
        <v>0</v>
      </c>
    </row>
    <row r="870" spans="5:9" x14ac:dyDescent="0.25">
      <c r="E870">
        <f t="shared" si="74"/>
        <v>860</v>
      </c>
      <c r="F870" s="39">
        <f t="shared" ca="1" si="70"/>
        <v>36.507780998941776</v>
      </c>
      <c r="G870" s="42">
        <f t="shared" ca="1" si="71"/>
        <v>1087.7256489693116</v>
      </c>
      <c r="H870" s="42">
        <f t="shared" ca="1" si="72"/>
        <v>1059.7256489693116</v>
      </c>
      <c r="I870" s="42">
        <f t="shared" ca="1" si="73"/>
        <v>0</v>
      </c>
    </row>
    <row r="871" spans="5:9" x14ac:dyDescent="0.25">
      <c r="E871">
        <f t="shared" si="74"/>
        <v>861</v>
      </c>
      <c r="F871" s="39">
        <f t="shared" ca="1" si="70"/>
        <v>99.930503090648401</v>
      </c>
      <c r="G871" s="42">
        <f t="shared" ca="1" si="71"/>
        <v>2926.9845896288034</v>
      </c>
      <c r="H871" s="42">
        <f t="shared" ca="1" si="72"/>
        <v>2898.9845896288034</v>
      </c>
      <c r="I871" s="42">
        <f t="shared" ca="1" si="73"/>
        <v>0</v>
      </c>
    </row>
    <row r="872" spans="5:9" x14ac:dyDescent="0.25">
      <c r="E872">
        <f t="shared" si="74"/>
        <v>862</v>
      </c>
      <c r="F872" s="39">
        <f t="shared" ca="1" si="70"/>
        <v>55.257846296966029</v>
      </c>
      <c r="G872" s="42">
        <f t="shared" ca="1" si="71"/>
        <v>1631.4775426120148</v>
      </c>
      <c r="H872" s="42">
        <f t="shared" ca="1" si="72"/>
        <v>1603.4775426120148</v>
      </c>
      <c r="I872" s="42">
        <f t="shared" ca="1" si="73"/>
        <v>0</v>
      </c>
    </row>
    <row r="873" spans="5:9" x14ac:dyDescent="0.25">
      <c r="E873">
        <f t="shared" si="74"/>
        <v>863</v>
      </c>
      <c r="F873" s="39">
        <f t="shared" ca="1" si="70"/>
        <v>-6.0236432385670753</v>
      </c>
      <c r="G873" s="42">
        <f t="shared" ca="1" si="71"/>
        <v>-145.68565391844518</v>
      </c>
      <c r="H873" s="42">
        <f t="shared" ca="1" si="72"/>
        <v>-173.68565391844518</v>
      </c>
      <c r="I873" s="42">
        <f t="shared" ca="1" si="73"/>
        <v>0</v>
      </c>
    </row>
    <row r="874" spans="5:9" x14ac:dyDescent="0.25">
      <c r="E874">
        <f t="shared" si="74"/>
        <v>864</v>
      </c>
      <c r="F874" s="39">
        <f t="shared" ca="1" si="70"/>
        <v>21.696303537138853</v>
      </c>
      <c r="G874" s="42">
        <f t="shared" ca="1" si="71"/>
        <v>658.19280257702678</v>
      </c>
      <c r="H874" s="42">
        <f t="shared" ca="1" si="72"/>
        <v>630.19280257702678</v>
      </c>
      <c r="I874" s="42">
        <f t="shared" ca="1" si="73"/>
        <v>0</v>
      </c>
    </row>
    <row r="875" spans="5:9" x14ac:dyDescent="0.25">
      <c r="E875">
        <f t="shared" si="74"/>
        <v>865</v>
      </c>
      <c r="F875" s="39">
        <f t="shared" ca="1" si="70"/>
        <v>90.639756166807786</v>
      </c>
      <c r="G875" s="42">
        <f t="shared" ca="1" si="71"/>
        <v>2657.552928837426</v>
      </c>
      <c r="H875" s="42">
        <f t="shared" ca="1" si="72"/>
        <v>2629.552928837426</v>
      </c>
      <c r="I875" s="42">
        <f t="shared" ca="1" si="73"/>
        <v>0</v>
      </c>
    </row>
    <row r="876" spans="5:9" x14ac:dyDescent="0.25">
      <c r="E876">
        <f t="shared" si="74"/>
        <v>866</v>
      </c>
      <c r="F876" s="39">
        <f t="shared" ca="1" si="70"/>
        <v>-0.28735433785850972</v>
      </c>
      <c r="G876" s="42">
        <f t="shared" ca="1" si="71"/>
        <v>20.666724202103218</v>
      </c>
      <c r="H876" s="42">
        <f t="shared" ca="1" si="72"/>
        <v>-7.333275797896782</v>
      </c>
      <c r="I876" s="42">
        <f t="shared" ca="1" si="73"/>
        <v>0</v>
      </c>
    </row>
    <row r="877" spans="5:9" x14ac:dyDescent="0.25">
      <c r="E877">
        <f t="shared" si="74"/>
        <v>867</v>
      </c>
      <c r="F877" s="39">
        <f t="shared" ca="1" si="70"/>
        <v>57.715823644852925</v>
      </c>
      <c r="G877" s="42">
        <f t="shared" ca="1" si="71"/>
        <v>1702.7588857007349</v>
      </c>
      <c r="H877" s="42">
        <f t="shared" ca="1" si="72"/>
        <v>1674.7588857007349</v>
      </c>
      <c r="I877" s="42">
        <f t="shared" ca="1" si="73"/>
        <v>0</v>
      </c>
    </row>
    <row r="878" spans="5:9" x14ac:dyDescent="0.25">
      <c r="E878">
        <f t="shared" si="74"/>
        <v>868</v>
      </c>
      <c r="F878" s="39">
        <f t="shared" ca="1" si="70"/>
        <v>29.139004048564182</v>
      </c>
      <c r="G878" s="42">
        <f t="shared" ca="1" si="71"/>
        <v>874.0311174083613</v>
      </c>
      <c r="H878" s="42">
        <f t="shared" ca="1" si="72"/>
        <v>846.0311174083613</v>
      </c>
      <c r="I878" s="42">
        <f t="shared" ca="1" si="73"/>
        <v>0</v>
      </c>
    </row>
    <row r="879" spans="5:9" x14ac:dyDescent="0.25">
      <c r="E879">
        <f t="shared" si="74"/>
        <v>869</v>
      </c>
      <c r="F879" s="39">
        <f t="shared" ca="1" si="70"/>
        <v>23.582153787421156</v>
      </c>
      <c r="G879" s="42">
        <f t="shared" ca="1" si="71"/>
        <v>712.88245983521347</v>
      </c>
      <c r="H879" s="42">
        <f t="shared" ca="1" si="72"/>
        <v>684.88245983521347</v>
      </c>
      <c r="I879" s="42">
        <f t="shared" ca="1" si="73"/>
        <v>0</v>
      </c>
    </row>
    <row r="880" spans="5:9" x14ac:dyDescent="0.25">
      <c r="E880">
        <f t="shared" si="74"/>
        <v>870</v>
      </c>
      <c r="F880" s="39">
        <f t="shared" ca="1" si="70"/>
        <v>96.554645115006309</v>
      </c>
      <c r="G880" s="42">
        <f t="shared" ca="1" si="71"/>
        <v>2829.0847083351828</v>
      </c>
      <c r="H880" s="42">
        <f t="shared" ca="1" si="72"/>
        <v>2801.0847083351828</v>
      </c>
      <c r="I880" s="42">
        <f t="shared" ca="1" si="73"/>
        <v>0</v>
      </c>
    </row>
    <row r="881" spans="5:9" x14ac:dyDescent="0.25">
      <c r="E881">
        <f t="shared" si="74"/>
        <v>871</v>
      </c>
      <c r="F881" s="39">
        <f t="shared" ca="1" si="70"/>
        <v>1.8887832958449451</v>
      </c>
      <c r="G881" s="42">
        <f t="shared" ca="1" si="71"/>
        <v>83.774715579503408</v>
      </c>
      <c r="H881" s="42">
        <f t="shared" ca="1" si="72"/>
        <v>55.774715579503408</v>
      </c>
      <c r="I881" s="42">
        <f t="shared" ca="1" si="73"/>
        <v>0</v>
      </c>
    </row>
    <row r="882" spans="5:9" x14ac:dyDescent="0.25">
      <c r="E882">
        <f t="shared" si="74"/>
        <v>872</v>
      </c>
      <c r="F882" s="39">
        <f t="shared" ca="1" si="70"/>
        <v>1.5193939146078037</v>
      </c>
      <c r="G882" s="42">
        <f t="shared" ca="1" si="71"/>
        <v>73.062423523626308</v>
      </c>
      <c r="H882" s="42">
        <f t="shared" ca="1" si="72"/>
        <v>45.062423523626308</v>
      </c>
      <c r="I882" s="42">
        <f t="shared" ca="1" si="73"/>
        <v>0</v>
      </c>
    </row>
    <row r="883" spans="5:9" x14ac:dyDescent="0.25">
      <c r="E883">
        <f t="shared" si="74"/>
        <v>873</v>
      </c>
      <c r="F883" s="39">
        <f t="shared" ca="1" si="70"/>
        <v>59.471800749413497</v>
      </c>
      <c r="G883" s="42">
        <f t="shared" ca="1" si="71"/>
        <v>1753.6822217329914</v>
      </c>
      <c r="H883" s="42">
        <f t="shared" ca="1" si="72"/>
        <v>1725.6822217329914</v>
      </c>
      <c r="I883" s="42">
        <f t="shared" ca="1" si="73"/>
        <v>0</v>
      </c>
    </row>
    <row r="884" spans="5:9" x14ac:dyDescent="0.25">
      <c r="E884">
        <f t="shared" si="74"/>
        <v>874</v>
      </c>
      <c r="F884" s="39">
        <f t="shared" ca="1" si="70"/>
        <v>21.749084035536889</v>
      </c>
      <c r="G884" s="42">
        <f t="shared" ca="1" si="71"/>
        <v>659.72343703056981</v>
      </c>
      <c r="H884" s="42">
        <f t="shared" ca="1" si="72"/>
        <v>631.72343703056981</v>
      </c>
      <c r="I884" s="42">
        <f t="shared" ca="1" si="73"/>
        <v>0</v>
      </c>
    </row>
    <row r="885" spans="5:9" x14ac:dyDescent="0.25">
      <c r="E885">
        <f t="shared" si="74"/>
        <v>875</v>
      </c>
      <c r="F885" s="39">
        <f t="shared" ca="1" si="70"/>
        <v>27.76163931559265</v>
      </c>
      <c r="G885" s="42">
        <f t="shared" ca="1" si="71"/>
        <v>834.08754015218688</v>
      </c>
      <c r="H885" s="42">
        <f t="shared" ca="1" si="72"/>
        <v>806.08754015218688</v>
      </c>
      <c r="I885" s="42">
        <f t="shared" ca="1" si="73"/>
        <v>0</v>
      </c>
    </row>
    <row r="886" spans="5:9" x14ac:dyDescent="0.25">
      <c r="E886">
        <f t="shared" si="74"/>
        <v>876</v>
      </c>
      <c r="F886" s="39">
        <f t="shared" ca="1" si="70"/>
        <v>32.447933836678764</v>
      </c>
      <c r="G886" s="42">
        <f t="shared" ca="1" si="71"/>
        <v>969.99008126368415</v>
      </c>
      <c r="H886" s="42">
        <f t="shared" ca="1" si="72"/>
        <v>941.99008126368415</v>
      </c>
      <c r="I886" s="42">
        <f t="shared" ca="1" si="73"/>
        <v>0</v>
      </c>
    </row>
    <row r="887" spans="5:9" x14ac:dyDescent="0.25">
      <c r="E887">
        <f t="shared" si="74"/>
        <v>877</v>
      </c>
      <c r="F887" s="39">
        <f t="shared" ca="1" si="70"/>
        <v>85.420524904652183</v>
      </c>
      <c r="G887" s="42">
        <f t="shared" ca="1" si="71"/>
        <v>2506.1952222349132</v>
      </c>
      <c r="H887" s="42">
        <f t="shared" ca="1" si="72"/>
        <v>2478.1952222349132</v>
      </c>
      <c r="I887" s="42">
        <f t="shared" ca="1" si="73"/>
        <v>0</v>
      </c>
    </row>
    <row r="888" spans="5:9" x14ac:dyDescent="0.25">
      <c r="E888">
        <f t="shared" si="74"/>
        <v>878</v>
      </c>
      <c r="F888" s="39">
        <f t="shared" ca="1" si="70"/>
        <v>19.138254988749914</v>
      </c>
      <c r="G888" s="42">
        <f t="shared" ca="1" si="71"/>
        <v>584.00939467374747</v>
      </c>
      <c r="H888" s="42">
        <f t="shared" ca="1" si="72"/>
        <v>556.00939467374747</v>
      </c>
      <c r="I888" s="42">
        <f t="shared" ca="1" si="73"/>
        <v>0</v>
      </c>
    </row>
    <row r="889" spans="5:9" x14ac:dyDescent="0.25">
      <c r="E889">
        <f t="shared" si="74"/>
        <v>879</v>
      </c>
      <c r="F889" s="39">
        <f t="shared" ca="1" si="70"/>
        <v>28.899539662061969</v>
      </c>
      <c r="G889" s="42">
        <f t="shared" ca="1" si="71"/>
        <v>867.08665019979708</v>
      </c>
      <c r="H889" s="42">
        <f t="shared" ca="1" si="72"/>
        <v>839.08665019979708</v>
      </c>
      <c r="I889" s="42">
        <f t="shared" ca="1" si="73"/>
        <v>0</v>
      </c>
    </row>
    <row r="890" spans="5:9" x14ac:dyDescent="0.25">
      <c r="E890">
        <f t="shared" si="74"/>
        <v>880</v>
      </c>
      <c r="F890" s="39">
        <f t="shared" ca="1" si="70"/>
        <v>47.363731676199052</v>
      </c>
      <c r="G890" s="42">
        <f t="shared" ca="1" si="71"/>
        <v>1402.5482186097724</v>
      </c>
      <c r="H890" s="42">
        <f t="shared" ca="1" si="72"/>
        <v>1374.5482186097724</v>
      </c>
      <c r="I890" s="42">
        <f t="shared" ca="1" si="73"/>
        <v>0</v>
      </c>
    </row>
    <row r="891" spans="5:9" x14ac:dyDescent="0.25">
      <c r="E891">
        <f t="shared" si="74"/>
        <v>881</v>
      </c>
      <c r="F891" s="39">
        <f t="shared" ca="1" si="70"/>
        <v>12.218476532083947</v>
      </c>
      <c r="G891" s="42">
        <f t="shared" ca="1" si="71"/>
        <v>383.33581943043447</v>
      </c>
      <c r="H891" s="42">
        <f t="shared" ca="1" si="72"/>
        <v>355.33581943043447</v>
      </c>
      <c r="I891" s="42">
        <f t="shared" ca="1" si="73"/>
        <v>0</v>
      </c>
    </row>
    <row r="892" spans="5:9" x14ac:dyDescent="0.25">
      <c r="E892">
        <f t="shared" si="74"/>
        <v>882</v>
      </c>
      <c r="F892" s="39">
        <f t="shared" ca="1" si="70"/>
        <v>79.358303913977338</v>
      </c>
      <c r="G892" s="42">
        <f t="shared" ca="1" si="71"/>
        <v>2330.390813505343</v>
      </c>
      <c r="H892" s="42">
        <f t="shared" ca="1" si="72"/>
        <v>2302.390813505343</v>
      </c>
      <c r="I892" s="42">
        <f t="shared" ca="1" si="73"/>
        <v>0</v>
      </c>
    </row>
    <row r="893" spans="5:9" x14ac:dyDescent="0.25">
      <c r="E893">
        <f t="shared" si="74"/>
        <v>883</v>
      </c>
      <c r="F893" s="39">
        <f t="shared" ca="1" si="70"/>
        <v>99.617195690106044</v>
      </c>
      <c r="G893" s="42">
        <f t="shared" ca="1" si="71"/>
        <v>2917.8986750130753</v>
      </c>
      <c r="H893" s="42">
        <f t="shared" ca="1" si="72"/>
        <v>2889.8986750130753</v>
      </c>
      <c r="I893" s="42">
        <f t="shared" ca="1" si="73"/>
        <v>0</v>
      </c>
    </row>
    <row r="894" spans="5:9" x14ac:dyDescent="0.25">
      <c r="E894">
        <f t="shared" si="74"/>
        <v>884</v>
      </c>
      <c r="F894" s="39">
        <f t="shared" ca="1" si="70"/>
        <v>36.320426061999179</v>
      </c>
      <c r="G894" s="42">
        <f t="shared" ca="1" si="71"/>
        <v>1082.2923557979761</v>
      </c>
      <c r="H894" s="42">
        <f t="shared" ca="1" si="72"/>
        <v>1054.2923557979761</v>
      </c>
      <c r="I894" s="42">
        <f t="shared" ca="1" si="73"/>
        <v>0</v>
      </c>
    </row>
    <row r="895" spans="5:9" x14ac:dyDescent="0.25">
      <c r="E895">
        <f t="shared" si="74"/>
        <v>885</v>
      </c>
      <c r="F895" s="39">
        <f t="shared" ca="1" si="70"/>
        <v>21.349186538223996</v>
      </c>
      <c r="G895" s="42">
        <f t="shared" ca="1" si="71"/>
        <v>648.12640960849592</v>
      </c>
      <c r="H895" s="42">
        <f t="shared" ca="1" si="72"/>
        <v>620.12640960849592</v>
      </c>
      <c r="I895" s="42">
        <f t="shared" ca="1" si="73"/>
        <v>0</v>
      </c>
    </row>
    <row r="896" spans="5:9" x14ac:dyDescent="0.25">
      <c r="E896">
        <f t="shared" si="74"/>
        <v>886</v>
      </c>
      <c r="F896" s="39">
        <f t="shared" ca="1" si="70"/>
        <v>31.203686067288444</v>
      </c>
      <c r="G896" s="42">
        <f t="shared" ca="1" si="71"/>
        <v>933.90689595136485</v>
      </c>
      <c r="H896" s="42">
        <f t="shared" ca="1" si="72"/>
        <v>905.90689595136485</v>
      </c>
      <c r="I896" s="42">
        <f t="shared" ca="1" si="73"/>
        <v>0</v>
      </c>
    </row>
    <row r="897" spans="5:9" x14ac:dyDescent="0.25">
      <c r="E897">
        <f t="shared" si="74"/>
        <v>887</v>
      </c>
      <c r="F897" s="39">
        <f t="shared" ca="1" si="70"/>
        <v>98.359907650458126</v>
      </c>
      <c r="G897" s="42">
        <f t="shared" ca="1" si="71"/>
        <v>2881.4373218632854</v>
      </c>
      <c r="H897" s="42">
        <f t="shared" ca="1" si="72"/>
        <v>2853.4373218632854</v>
      </c>
      <c r="I897" s="42">
        <f t="shared" ca="1" si="73"/>
        <v>0</v>
      </c>
    </row>
    <row r="898" spans="5:9" x14ac:dyDescent="0.25">
      <c r="E898">
        <f t="shared" si="74"/>
        <v>888</v>
      </c>
      <c r="F898" s="39">
        <f t="shared" ca="1" si="70"/>
        <v>17.191816652891287</v>
      </c>
      <c r="G898" s="42">
        <f t="shared" ca="1" si="71"/>
        <v>527.56268293384733</v>
      </c>
      <c r="H898" s="42">
        <f t="shared" ca="1" si="72"/>
        <v>499.56268293384733</v>
      </c>
      <c r="I898" s="42">
        <f t="shared" ca="1" si="73"/>
        <v>0</v>
      </c>
    </row>
    <row r="899" spans="5:9" x14ac:dyDescent="0.25">
      <c r="E899">
        <f t="shared" si="74"/>
        <v>889</v>
      </c>
      <c r="F899" s="39">
        <f t="shared" ca="1" si="70"/>
        <v>53.924695879432676</v>
      </c>
      <c r="G899" s="42">
        <f t="shared" ca="1" si="71"/>
        <v>1592.8161805035477</v>
      </c>
      <c r="H899" s="42">
        <f t="shared" ca="1" si="72"/>
        <v>1564.8161805035477</v>
      </c>
      <c r="I899" s="42">
        <f t="shared" ca="1" si="73"/>
        <v>0</v>
      </c>
    </row>
    <row r="900" spans="5:9" x14ac:dyDescent="0.25">
      <c r="E900">
        <f t="shared" si="74"/>
        <v>890</v>
      </c>
      <c r="F900" s="39">
        <f t="shared" ca="1" si="70"/>
        <v>97.379912941933213</v>
      </c>
      <c r="G900" s="42">
        <f t="shared" ca="1" si="71"/>
        <v>2853.0174753160632</v>
      </c>
      <c r="H900" s="42">
        <f t="shared" ca="1" si="72"/>
        <v>2825.0174753160632</v>
      </c>
      <c r="I900" s="42">
        <f t="shared" ca="1" si="73"/>
        <v>0</v>
      </c>
    </row>
    <row r="901" spans="5:9" x14ac:dyDescent="0.25">
      <c r="E901">
        <f t="shared" si="74"/>
        <v>891</v>
      </c>
      <c r="F901" s="39">
        <f t="shared" ca="1" si="70"/>
        <v>68.123573007543342</v>
      </c>
      <c r="G901" s="42">
        <f t="shared" ca="1" si="71"/>
        <v>2004.5836172187569</v>
      </c>
      <c r="H901" s="42">
        <f t="shared" ca="1" si="72"/>
        <v>1976.5836172187569</v>
      </c>
      <c r="I901" s="42">
        <f t="shared" ca="1" si="73"/>
        <v>0</v>
      </c>
    </row>
    <row r="902" spans="5:9" x14ac:dyDescent="0.25">
      <c r="E902">
        <f t="shared" si="74"/>
        <v>892</v>
      </c>
      <c r="F902" s="39">
        <f t="shared" ca="1" si="70"/>
        <v>33.762770815341035</v>
      </c>
      <c r="G902" s="42">
        <f t="shared" ca="1" si="71"/>
        <v>1008.12035364489</v>
      </c>
      <c r="H902" s="42">
        <f t="shared" ca="1" si="72"/>
        <v>980.12035364488997</v>
      </c>
      <c r="I902" s="42">
        <f t="shared" ca="1" si="73"/>
        <v>0</v>
      </c>
    </row>
    <row r="903" spans="5:9" x14ac:dyDescent="0.25">
      <c r="E903">
        <f t="shared" si="74"/>
        <v>893</v>
      </c>
      <c r="F903" s="39">
        <f t="shared" ca="1" si="70"/>
        <v>39.891708360444888</v>
      </c>
      <c r="G903" s="42">
        <f t="shared" ca="1" si="71"/>
        <v>1185.8595424529017</v>
      </c>
      <c r="H903" s="42">
        <f t="shared" ca="1" si="72"/>
        <v>1157.8595424529017</v>
      </c>
      <c r="I903" s="42">
        <f t="shared" ca="1" si="73"/>
        <v>0</v>
      </c>
    </row>
    <row r="904" spans="5:9" x14ac:dyDescent="0.25">
      <c r="E904">
        <f t="shared" si="74"/>
        <v>894</v>
      </c>
      <c r="F904" s="39">
        <f t="shared" ca="1" si="70"/>
        <v>44.662209309095289</v>
      </c>
      <c r="G904" s="42">
        <f t="shared" ca="1" si="71"/>
        <v>1324.2040699637635</v>
      </c>
      <c r="H904" s="42">
        <f t="shared" ca="1" si="72"/>
        <v>1296.2040699637635</v>
      </c>
      <c r="I904" s="42">
        <f t="shared" ca="1" si="73"/>
        <v>0</v>
      </c>
    </row>
    <row r="905" spans="5:9" x14ac:dyDescent="0.25">
      <c r="E905">
        <f t="shared" si="74"/>
        <v>895</v>
      </c>
      <c r="F905" s="39">
        <f t="shared" ca="1" si="70"/>
        <v>-1.8937321030793797</v>
      </c>
      <c r="G905" s="42">
        <f t="shared" ca="1" si="71"/>
        <v>-25.91823098930201</v>
      </c>
      <c r="H905" s="42">
        <f t="shared" ca="1" si="72"/>
        <v>-53.91823098930201</v>
      </c>
      <c r="I905" s="42">
        <f t="shared" ca="1" si="73"/>
        <v>0</v>
      </c>
    </row>
    <row r="906" spans="5:9" x14ac:dyDescent="0.25">
      <c r="E906">
        <f t="shared" si="74"/>
        <v>896</v>
      </c>
      <c r="F906" s="39">
        <f t="shared" ca="1" si="70"/>
        <v>28.482996001568036</v>
      </c>
      <c r="G906" s="42">
        <f t="shared" ca="1" si="71"/>
        <v>855.00688404547304</v>
      </c>
      <c r="H906" s="42">
        <f t="shared" ca="1" si="72"/>
        <v>827.00688404547304</v>
      </c>
      <c r="I906" s="42">
        <f t="shared" ca="1" si="73"/>
        <v>0</v>
      </c>
    </row>
    <row r="907" spans="5:9" x14ac:dyDescent="0.25">
      <c r="E907">
        <f t="shared" si="74"/>
        <v>897</v>
      </c>
      <c r="F907" s="39">
        <f t="shared" ca="1" si="70"/>
        <v>55.328972007028469</v>
      </c>
      <c r="G907" s="42">
        <f t="shared" ca="1" si="71"/>
        <v>1633.5401882038257</v>
      </c>
      <c r="H907" s="42">
        <f t="shared" ca="1" si="72"/>
        <v>1605.5401882038257</v>
      </c>
      <c r="I907" s="42">
        <f t="shared" ca="1" si="73"/>
        <v>0</v>
      </c>
    </row>
    <row r="908" spans="5:9" x14ac:dyDescent="0.25">
      <c r="E908">
        <f t="shared" si="74"/>
        <v>898</v>
      </c>
      <c r="F908" s="39">
        <f t="shared" ref="F908:F971" ca="1" si="75">_xlfn.NORM.INV(RAND(),$E$45,$E$46)</f>
        <v>42.481855195090922</v>
      </c>
      <c r="G908" s="42">
        <f t="shared" ref="G908:G971" ca="1" si="76">$E$39*(1+F908)</f>
        <v>1260.9738006576367</v>
      </c>
      <c r="H908" s="42">
        <f t="shared" ref="H908:H971" ca="1" si="77">MAX(G908-$E$38)</f>
        <v>1232.9738006576367</v>
      </c>
      <c r="I908" s="42">
        <f t="shared" ref="I908:I971" ca="1" si="78">MAX($E$38-$H$43,0)</f>
        <v>0</v>
      </c>
    </row>
    <row r="909" spans="5:9" x14ac:dyDescent="0.25">
      <c r="E909">
        <f t="shared" ref="E909:E972" si="79">E908+1</f>
        <v>899</v>
      </c>
      <c r="F909" s="39">
        <f t="shared" ca="1" si="75"/>
        <v>64.150999720632527</v>
      </c>
      <c r="G909" s="42">
        <f t="shared" ca="1" si="76"/>
        <v>1889.3789918983432</v>
      </c>
      <c r="H909" s="42">
        <f t="shared" ca="1" si="77"/>
        <v>1861.3789918983432</v>
      </c>
      <c r="I909" s="42">
        <f t="shared" ca="1" si="78"/>
        <v>0</v>
      </c>
    </row>
    <row r="910" spans="5:9" x14ac:dyDescent="0.25">
      <c r="E910">
        <f t="shared" si="79"/>
        <v>900</v>
      </c>
      <c r="F910" s="39">
        <f t="shared" ca="1" si="75"/>
        <v>-15.473949894445511</v>
      </c>
      <c r="G910" s="42">
        <f t="shared" ca="1" si="76"/>
        <v>-419.74454693891983</v>
      </c>
      <c r="H910" s="42">
        <f t="shared" ca="1" si="77"/>
        <v>-447.74454693891983</v>
      </c>
      <c r="I910" s="42">
        <f t="shared" ca="1" si="78"/>
        <v>0</v>
      </c>
    </row>
    <row r="911" spans="5:9" x14ac:dyDescent="0.25">
      <c r="E911">
        <f t="shared" si="79"/>
        <v>901</v>
      </c>
      <c r="F911" s="39">
        <f t="shared" ca="1" si="75"/>
        <v>24.256012045499759</v>
      </c>
      <c r="G911" s="42">
        <f t="shared" ca="1" si="76"/>
        <v>732.42434931949299</v>
      </c>
      <c r="H911" s="42">
        <f t="shared" ca="1" si="77"/>
        <v>704.42434931949299</v>
      </c>
      <c r="I911" s="42">
        <f t="shared" ca="1" si="78"/>
        <v>0</v>
      </c>
    </row>
    <row r="912" spans="5:9" x14ac:dyDescent="0.25">
      <c r="E912">
        <f t="shared" si="79"/>
        <v>902</v>
      </c>
      <c r="F912" s="39">
        <f t="shared" ca="1" si="75"/>
        <v>68.330053228244736</v>
      </c>
      <c r="G912" s="42">
        <f t="shared" ca="1" si="76"/>
        <v>2010.5715436190974</v>
      </c>
      <c r="H912" s="42">
        <f t="shared" ca="1" si="77"/>
        <v>1982.5715436190974</v>
      </c>
      <c r="I912" s="42">
        <f t="shared" ca="1" si="78"/>
        <v>0</v>
      </c>
    </row>
    <row r="913" spans="5:9" x14ac:dyDescent="0.25">
      <c r="E913">
        <f t="shared" si="79"/>
        <v>903</v>
      </c>
      <c r="F913" s="39">
        <f t="shared" ca="1" si="75"/>
        <v>78.540138657029019</v>
      </c>
      <c r="G913" s="42">
        <f t="shared" ca="1" si="76"/>
        <v>2306.6640210538417</v>
      </c>
      <c r="H913" s="42">
        <f t="shared" ca="1" si="77"/>
        <v>2278.6640210538417</v>
      </c>
      <c r="I913" s="42">
        <f t="shared" ca="1" si="78"/>
        <v>0</v>
      </c>
    </row>
    <row r="914" spans="5:9" x14ac:dyDescent="0.25">
      <c r="E914">
        <f t="shared" si="79"/>
        <v>904</v>
      </c>
      <c r="F914" s="39">
        <f t="shared" ca="1" si="75"/>
        <v>70.287610831896643</v>
      </c>
      <c r="G914" s="42">
        <f t="shared" ca="1" si="76"/>
        <v>2067.3407141250027</v>
      </c>
      <c r="H914" s="42">
        <f t="shared" ca="1" si="77"/>
        <v>2039.3407141250027</v>
      </c>
      <c r="I914" s="42">
        <f t="shared" ca="1" si="78"/>
        <v>0</v>
      </c>
    </row>
    <row r="915" spans="5:9" x14ac:dyDescent="0.25">
      <c r="E915">
        <f t="shared" si="79"/>
        <v>905</v>
      </c>
      <c r="F915" s="39">
        <f t="shared" ca="1" si="75"/>
        <v>44.395407212971762</v>
      </c>
      <c r="G915" s="42">
        <f t="shared" ca="1" si="76"/>
        <v>1316.4668091761812</v>
      </c>
      <c r="H915" s="42">
        <f t="shared" ca="1" si="77"/>
        <v>1288.4668091761812</v>
      </c>
      <c r="I915" s="42">
        <f t="shared" ca="1" si="78"/>
        <v>0</v>
      </c>
    </row>
    <row r="916" spans="5:9" x14ac:dyDescent="0.25">
      <c r="E916">
        <f t="shared" si="79"/>
        <v>906</v>
      </c>
      <c r="F916" s="39">
        <f t="shared" ca="1" si="75"/>
        <v>80.631684334598276</v>
      </c>
      <c r="G916" s="42">
        <f t="shared" ca="1" si="76"/>
        <v>2367.3188457033502</v>
      </c>
      <c r="H916" s="42">
        <f t="shared" ca="1" si="77"/>
        <v>2339.3188457033502</v>
      </c>
      <c r="I916" s="42">
        <f t="shared" ca="1" si="78"/>
        <v>0</v>
      </c>
    </row>
    <row r="917" spans="5:9" x14ac:dyDescent="0.25">
      <c r="E917">
        <f t="shared" si="79"/>
        <v>907</v>
      </c>
      <c r="F917" s="39">
        <f t="shared" ca="1" si="75"/>
        <v>-1.7414690614712214</v>
      </c>
      <c r="G917" s="42">
        <f t="shared" ca="1" si="76"/>
        <v>-21.50260278266542</v>
      </c>
      <c r="H917" s="42">
        <f t="shared" ca="1" si="77"/>
        <v>-49.50260278266542</v>
      </c>
      <c r="I917" s="42">
        <f t="shared" ca="1" si="78"/>
        <v>0</v>
      </c>
    </row>
    <row r="918" spans="5:9" x14ac:dyDescent="0.25">
      <c r="E918">
        <f t="shared" si="79"/>
        <v>908</v>
      </c>
      <c r="F918" s="39">
        <f t="shared" ca="1" si="75"/>
        <v>-4.6034560130601605</v>
      </c>
      <c r="G918" s="42">
        <f t="shared" ca="1" si="76"/>
        <v>-104.50022437874466</v>
      </c>
      <c r="H918" s="42">
        <f t="shared" ca="1" si="77"/>
        <v>-132.50022437874466</v>
      </c>
      <c r="I918" s="42">
        <f t="shared" ca="1" si="78"/>
        <v>0</v>
      </c>
    </row>
    <row r="919" spans="5:9" x14ac:dyDescent="0.25">
      <c r="E919">
        <f t="shared" si="79"/>
        <v>909</v>
      </c>
      <c r="F919" s="39">
        <f t="shared" ca="1" si="75"/>
        <v>54.503455586189119</v>
      </c>
      <c r="G919" s="42">
        <f t="shared" ca="1" si="76"/>
        <v>1609.6002119994844</v>
      </c>
      <c r="H919" s="42">
        <f t="shared" ca="1" si="77"/>
        <v>1581.6002119994844</v>
      </c>
      <c r="I919" s="42">
        <f t="shared" ca="1" si="78"/>
        <v>0</v>
      </c>
    </row>
    <row r="920" spans="5:9" x14ac:dyDescent="0.25">
      <c r="E920">
        <f t="shared" si="79"/>
        <v>910</v>
      </c>
      <c r="F920" s="39">
        <f t="shared" ca="1" si="75"/>
        <v>96.765020420831789</v>
      </c>
      <c r="G920" s="42">
        <f t="shared" ca="1" si="76"/>
        <v>2835.1855922041218</v>
      </c>
      <c r="H920" s="42">
        <f t="shared" ca="1" si="77"/>
        <v>2807.1855922041218</v>
      </c>
      <c r="I920" s="42">
        <f t="shared" ca="1" si="78"/>
        <v>0</v>
      </c>
    </row>
    <row r="921" spans="5:9" x14ac:dyDescent="0.25">
      <c r="E921">
        <f t="shared" si="79"/>
        <v>911</v>
      </c>
      <c r="F921" s="39">
        <f t="shared" ca="1" si="75"/>
        <v>47.256966439517107</v>
      </c>
      <c r="G921" s="42">
        <f t="shared" ca="1" si="76"/>
        <v>1399.4520267459961</v>
      </c>
      <c r="H921" s="42">
        <f t="shared" ca="1" si="77"/>
        <v>1371.4520267459961</v>
      </c>
      <c r="I921" s="42">
        <f t="shared" ca="1" si="78"/>
        <v>0</v>
      </c>
    </row>
    <row r="922" spans="5:9" x14ac:dyDescent="0.25">
      <c r="E922">
        <f t="shared" si="79"/>
        <v>912</v>
      </c>
      <c r="F922" s="39">
        <f t="shared" ca="1" si="75"/>
        <v>44.783342319618264</v>
      </c>
      <c r="G922" s="42">
        <f t="shared" ca="1" si="76"/>
        <v>1327.7169272689296</v>
      </c>
      <c r="H922" s="42">
        <f t="shared" ca="1" si="77"/>
        <v>1299.7169272689296</v>
      </c>
      <c r="I922" s="42">
        <f t="shared" ca="1" si="78"/>
        <v>0</v>
      </c>
    </row>
    <row r="923" spans="5:9" x14ac:dyDescent="0.25">
      <c r="E923">
        <f t="shared" si="79"/>
        <v>913</v>
      </c>
      <c r="F923" s="39">
        <f t="shared" ca="1" si="75"/>
        <v>52.690249657558141</v>
      </c>
      <c r="G923" s="42">
        <f t="shared" ca="1" si="76"/>
        <v>1557.0172400691861</v>
      </c>
      <c r="H923" s="42">
        <f t="shared" ca="1" si="77"/>
        <v>1529.0172400691861</v>
      </c>
      <c r="I923" s="42">
        <f t="shared" ca="1" si="78"/>
        <v>0</v>
      </c>
    </row>
    <row r="924" spans="5:9" x14ac:dyDescent="0.25">
      <c r="E924">
        <f t="shared" si="79"/>
        <v>914</v>
      </c>
      <c r="F924" s="39">
        <f t="shared" ca="1" si="75"/>
        <v>25.778432344966141</v>
      </c>
      <c r="G924" s="42">
        <f t="shared" ca="1" si="76"/>
        <v>776.57453800401811</v>
      </c>
      <c r="H924" s="42">
        <f t="shared" ca="1" si="77"/>
        <v>748.57453800401811</v>
      </c>
      <c r="I924" s="42">
        <f t="shared" ca="1" si="78"/>
        <v>0</v>
      </c>
    </row>
    <row r="925" spans="5:9" x14ac:dyDescent="0.25">
      <c r="E925">
        <f t="shared" si="79"/>
        <v>915</v>
      </c>
      <c r="F925" s="39">
        <f t="shared" ca="1" si="75"/>
        <v>75.819266822012224</v>
      </c>
      <c r="G925" s="42">
        <f t="shared" ca="1" si="76"/>
        <v>2227.7587378383546</v>
      </c>
      <c r="H925" s="42">
        <f t="shared" ca="1" si="77"/>
        <v>2199.7587378383546</v>
      </c>
      <c r="I925" s="42">
        <f t="shared" ca="1" si="78"/>
        <v>0</v>
      </c>
    </row>
    <row r="926" spans="5:9" x14ac:dyDescent="0.25">
      <c r="E926">
        <f t="shared" si="79"/>
        <v>916</v>
      </c>
      <c r="F926" s="39">
        <f t="shared" ca="1" si="75"/>
        <v>54.95545879446216</v>
      </c>
      <c r="G926" s="42">
        <f t="shared" ca="1" si="76"/>
        <v>1622.7083050394026</v>
      </c>
      <c r="H926" s="42">
        <f t="shared" ca="1" si="77"/>
        <v>1594.7083050394026</v>
      </c>
      <c r="I926" s="42">
        <f t="shared" ca="1" si="78"/>
        <v>0</v>
      </c>
    </row>
    <row r="927" spans="5:9" x14ac:dyDescent="0.25">
      <c r="E927">
        <f t="shared" si="79"/>
        <v>917</v>
      </c>
      <c r="F927" s="39">
        <f t="shared" ca="1" si="75"/>
        <v>-3.3366686570282411E-2</v>
      </c>
      <c r="G927" s="42">
        <f t="shared" ca="1" si="76"/>
        <v>28.03236608946181</v>
      </c>
      <c r="H927" s="42">
        <f t="shared" ca="1" si="77"/>
        <v>3.2366089461810077E-2</v>
      </c>
      <c r="I927" s="42">
        <f t="shared" ca="1" si="78"/>
        <v>0</v>
      </c>
    </row>
    <row r="928" spans="5:9" x14ac:dyDescent="0.25">
      <c r="E928">
        <f t="shared" si="79"/>
        <v>918</v>
      </c>
      <c r="F928" s="39">
        <f t="shared" ca="1" si="75"/>
        <v>-19.065232539557861</v>
      </c>
      <c r="G928" s="42">
        <f t="shared" ca="1" si="76"/>
        <v>-523.89174364717803</v>
      </c>
      <c r="H928" s="42">
        <f t="shared" ca="1" si="77"/>
        <v>-551.89174364717803</v>
      </c>
      <c r="I928" s="42">
        <f t="shared" ca="1" si="78"/>
        <v>0</v>
      </c>
    </row>
    <row r="929" spans="5:9" x14ac:dyDescent="0.25">
      <c r="E929">
        <f t="shared" si="79"/>
        <v>919</v>
      </c>
      <c r="F929" s="39">
        <f t="shared" ca="1" si="75"/>
        <v>49.273444180617744</v>
      </c>
      <c r="G929" s="42">
        <f t="shared" ca="1" si="76"/>
        <v>1457.9298812379145</v>
      </c>
      <c r="H929" s="42">
        <f t="shared" ca="1" si="77"/>
        <v>1429.9298812379145</v>
      </c>
      <c r="I929" s="42">
        <f t="shared" ca="1" si="78"/>
        <v>0</v>
      </c>
    </row>
    <row r="930" spans="5:9" x14ac:dyDescent="0.25">
      <c r="E930">
        <f t="shared" si="79"/>
        <v>920</v>
      </c>
      <c r="F930" s="39">
        <f t="shared" ca="1" si="75"/>
        <v>53.802529312739821</v>
      </c>
      <c r="G930" s="42">
        <f t="shared" ca="1" si="76"/>
        <v>1589.2733500694549</v>
      </c>
      <c r="H930" s="42">
        <f t="shared" ca="1" si="77"/>
        <v>1561.2733500694549</v>
      </c>
      <c r="I930" s="42">
        <f t="shared" ca="1" si="78"/>
        <v>0</v>
      </c>
    </row>
    <row r="931" spans="5:9" x14ac:dyDescent="0.25">
      <c r="E931">
        <f t="shared" si="79"/>
        <v>921</v>
      </c>
      <c r="F931" s="39">
        <f t="shared" ca="1" si="75"/>
        <v>77.713775973369081</v>
      </c>
      <c r="G931" s="42">
        <f t="shared" ca="1" si="76"/>
        <v>2282.6995032277032</v>
      </c>
      <c r="H931" s="42">
        <f t="shared" ca="1" si="77"/>
        <v>2254.6995032277032</v>
      </c>
      <c r="I931" s="42">
        <f t="shared" ca="1" si="78"/>
        <v>0</v>
      </c>
    </row>
    <row r="932" spans="5:9" x14ac:dyDescent="0.25">
      <c r="E932">
        <f t="shared" si="79"/>
        <v>922</v>
      </c>
      <c r="F932" s="39">
        <f t="shared" ca="1" si="75"/>
        <v>34.036877765348251</v>
      </c>
      <c r="G932" s="42">
        <f t="shared" ca="1" si="76"/>
        <v>1016.0694551950993</v>
      </c>
      <c r="H932" s="42">
        <f t="shared" ca="1" si="77"/>
        <v>988.06945519509929</v>
      </c>
      <c r="I932" s="42">
        <f t="shared" ca="1" si="78"/>
        <v>0</v>
      </c>
    </row>
    <row r="933" spans="5:9" x14ac:dyDescent="0.25">
      <c r="E933">
        <f t="shared" si="79"/>
        <v>923</v>
      </c>
      <c r="F933" s="39">
        <f t="shared" ca="1" si="75"/>
        <v>11.083425180106605</v>
      </c>
      <c r="G933" s="42">
        <f t="shared" ca="1" si="76"/>
        <v>350.41933022309155</v>
      </c>
      <c r="H933" s="42">
        <f t="shared" ca="1" si="77"/>
        <v>322.41933022309155</v>
      </c>
      <c r="I933" s="42">
        <f t="shared" ca="1" si="78"/>
        <v>0</v>
      </c>
    </row>
    <row r="934" spans="5:9" x14ac:dyDescent="0.25">
      <c r="E934">
        <f t="shared" si="79"/>
        <v>924</v>
      </c>
      <c r="F934" s="39">
        <f t="shared" ca="1" si="75"/>
        <v>2.7754874895169195</v>
      </c>
      <c r="G934" s="42">
        <f t="shared" ca="1" si="76"/>
        <v>109.48913719599066</v>
      </c>
      <c r="H934" s="42">
        <f t="shared" ca="1" si="77"/>
        <v>81.489137195990665</v>
      </c>
      <c r="I934" s="42">
        <f t="shared" ca="1" si="78"/>
        <v>0</v>
      </c>
    </row>
    <row r="935" spans="5:9" x14ac:dyDescent="0.25">
      <c r="E935">
        <f t="shared" si="79"/>
        <v>925</v>
      </c>
      <c r="F935" s="39">
        <f t="shared" ca="1" si="75"/>
        <v>79.061529867806996</v>
      </c>
      <c r="G935" s="42">
        <f t="shared" ca="1" si="76"/>
        <v>2321.7843661664028</v>
      </c>
      <c r="H935" s="42">
        <f t="shared" ca="1" si="77"/>
        <v>2293.7843661664028</v>
      </c>
      <c r="I935" s="42">
        <f t="shared" ca="1" si="78"/>
        <v>0</v>
      </c>
    </row>
    <row r="936" spans="5:9" x14ac:dyDescent="0.25">
      <c r="E936">
        <f t="shared" si="79"/>
        <v>926</v>
      </c>
      <c r="F936" s="39">
        <f t="shared" ca="1" si="75"/>
        <v>38.934520350049006</v>
      </c>
      <c r="G936" s="42">
        <f t="shared" ca="1" si="76"/>
        <v>1158.1010901514212</v>
      </c>
      <c r="H936" s="42">
        <f t="shared" ca="1" si="77"/>
        <v>1130.1010901514212</v>
      </c>
      <c r="I936" s="42">
        <f t="shared" ca="1" si="78"/>
        <v>0</v>
      </c>
    </row>
    <row r="937" spans="5:9" x14ac:dyDescent="0.25">
      <c r="E937">
        <f t="shared" si="79"/>
        <v>927</v>
      </c>
      <c r="F937" s="39">
        <f t="shared" ca="1" si="75"/>
        <v>71.659610831435472</v>
      </c>
      <c r="G937" s="42">
        <f t="shared" ca="1" si="76"/>
        <v>2107.1287141116286</v>
      </c>
      <c r="H937" s="42">
        <f t="shared" ca="1" si="77"/>
        <v>2079.1287141116286</v>
      </c>
      <c r="I937" s="42">
        <f t="shared" ca="1" si="78"/>
        <v>0</v>
      </c>
    </row>
    <row r="938" spans="5:9" x14ac:dyDescent="0.25">
      <c r="E938">
        <f t="shared" si="79"/>
        <v>928</v>
      </c>
      <c r="F938" s="39">
        <f t="shared" ca="1" si="75"/>
        <v>0.85611481818366997</v>
      </c>
      <c r="G938" s="42">
        <f t="shared" ca="1" si="76"/>
        <v>53.827329727326429</v>
      </c>
      <c r="H938" s="42">
        <f t="shared" ca="1" si="77"/>
        <v>25.827329727326429</v>
      </c>
      <c r="I938" s="42">
        <f t="shared" ca="1" si="78"/>
        <v>0</v>
      </c>
    </row>
    <row r="939" spans="5:9" x14ac:dyDescent="0.25">
      <c r="E939">
        <f t="shared" si="79"/>
        <v>929</v>
      </c>
      <c r="F939" s="39">
        <f t="shared" ca="1" si="75"/>
        <v>22.291766989834429</v>
      </c>
      <c r="G939" s="42">
        <f t="shared" ca="1" si="76"/>
        <v>675.4612427051984</v>
      </c>
      <c r="H939" s="42">
        <f t="shared" ca="1" si="77"/>
        <v>647.4612427051984</v>
      </c>
      <c r="I939" s="42">
        <f t="shared" ca="1" si="78"/>
        <v>0</v>
      </c>
    </row>
    <row r="940" spans="5:9" x14ac:dyDescent="0.25">
      <c r="E940">
        <f t="shared" si="79"/>
        <v>930</v>
      </c>
      <c r="F940" s="39">
        <f t="shared" ca="1" si="75"/>
        <v>30.468576063022269</v>
      </c>
      <c r="G940" s="42">
        <f t="shared" ca="1" si="76"/>
        <v>912.58870582764575</v>
      </c>
      <c r="H940" s="42">
        <f t="shared" ca="1" si="77"/>
        <v>884.58870582764575</v>
      </c>
      <c r="I940" s="42">
        <f t="shared" ca="1" si="78"/>
        <v>0</v>
      </c>
    </row>
    <row r="941" spans="5:9" x14ac:dyDescent="0.25">
      <c r="E941">
        <f t="shared" si="79"/>
        <v>931</v>
      </c>
      <c r="F941" s="39">
        <f t="shared" ca="1" si="75"/>
        <v>44.805215988262979</v>
      </c>
      <c r="G941" s="42">
        <f t="shared" ca="1" si="76"/>
        <v>1328.3512636596265</v>
      </c>
      <c r="H941" s="42">
        <f t="shared" ca="1" si="77"/>
        <v>1300.3512636596265</v>
      </c>
      <c r="I941" s="42">
        <f t="shared" ca="1" si="78"/>
        <v>0</v>
      </c>
    </row>
    <row r="942" spans="5:9" x14ac:dyDescent="0.25">
      <c r="E942">
        <f t="shared" si="79"/>
        <v>932</v>
      </c>
      <c r="F942" s="39">
        <f t="shared" ca="1" si="75"/>
        <v>21.372337425310167</v>
      </c>
      <c r="G942" s="42">
        <f t="shared" ca="1" si="76"/>
        <v>648.79778533399485</v>
      </c>
      <c r="H942" s="42">
        <f t="shared" ca="1" si="77"/>
        <v>620.79778533399485</v>
      </c>
      <c r="I942" s="42">
        <f t="shared" ca="1" si="78"/>
        <v>0</v>
      </c>
    </row>
    <row r="943" spans="5:9" x14ac:dyDescent="0.25">
      <c r="E943">
        <f t="shared" si="79"/>
        <v>933</v>
      </c>
      <c r="F943" s="39">
        <f t="shared" ca="1" si="75"/>
        <v>19.125294724935362</v>
      </c>
      <c r="G943" s="42">
        <f t="shared" ca="1" si="76"/>
        <v>583.63354702312552</v>
      </c>
      <c r="H943" s="42">
        <f t="shared" ca="1" si="77"/>
        <v>555.63354702312552</v>
      </c>
      <c r="I943" s="42">
        <f t="shared" ca="1" si="78"/>
        <v>0</v>
      </c>
    </row>
    <row r="944" spans="5:9" x14ac:dyDescent="0.25">
      <c r="E944">
        <f t="shared" si="79"/>
        <v>934</v>
      </c>
      <c r="F944" s="39">
        <f t="shared" ca="1" si="75"/>
        <v>38.210173244821533</v>
      </c>
      <c r="G944" s="42">
        <f t="shared" ca="1" si="76"/>
        <v>1137.0950240998245</v>
      </c>
      <c r="H944" s="42">
        <f t="shared" ca="1" si="77"/>
        <v>1109.0950240998245</v>
      </c>
      <c r="I944" s="42">
        <f t="shared" ca="1" si="78"/>
        <v>0</v>
      </c>
    </row>
    <row r="945" spans="5:9" x14ac:dyDescent="0.25">
      <c r="E945">
        <f t="shared" si="79"/>
        <v>935</v>
      </c>
      <c r="F945" s="39">
        <f t="shared" ca="1" si="75"/>
        <v>111.71549925546888</v>
      </c>
      <c r="G945" s="42">
        <f t="shared" ca="1" si="76"/>
        <v>3268.7494784085975</v>
      </c>
      <c r="H945" s="42">
        <f t="shared" ca="1" si="77"/>
        <v>3240.7494784085975</v>
      </c>
      <c r="I945" s="42">
        <f t="shared" ca="1" si="78"/>
        <v>0</v>
      </c>
    </row>
    <row r="946" spans="5:9" x14ac:dyDescent="0.25">
      <c r="E946">
        <f t="shared" si="79"/>
        <v>936</v>
      </c>
      <c r="F946" s="39">
        <f t="shared" ca="1" si="75"/>
        <v>89.725436829652068</v>
      </c>
      <c r="G946" s="42">
        <f t="shared" ca="1" si="76"/>
        <v>2631.0376680599102</v>
      </c>
      <c r="H946" s="42">
        <f t="shared" ca="1" si="77"/>
        <v>2603.0376680599102</v>
      </c>
      <c r="I946" s="42">
        <f t="shared" ca="1" si="78"/>
        <v>0</v>
      </c>
    </row>
    <row r="947" spans="5:9" x14ac:dyDescent="0.25">
      <c r="E947">
        <f t="shared" si="79"/>
        <v>937</v>
      </c>
      <c r="F947" s="39">
        <f t="shared" ca="1" si="75"/>
        <v>-13.834502628771958</v>
      </c>
      <c r="G947" s="42">
        <f t="shared" ca="1" si="76"/>
        <v>-372.20057623438674</v>
      </c>
      <c r="H947" s="42">
        <f t="shared" ca="1" si="77"/>
        <v>-400.20057623438674</v>
      </c>
      <c r="I947" s="42">
        <f t="shared" ca="1" si="78"/>
        <v>0</v>
      </c>
    </row>
    <row r="948" spans="5:9" x14ac:dyDescent="0.25">
      <c r="E948">
        <f t="shared" si="79"/>
        <v>938</v>
      </c>
      <c r="F948" s="39">
        <f t="shared" ca="1" si="75"/>
        <v>64.589341445321622</v>
      </c>
      <c r="G948" s="42">
        <f t="shared" ca="1" si="76"/>
        <v>1902.0909019143271</v>
      </c>
      <c r="H948" s="42">
        <f t="shared" ca="1" si="77"/>
        <v>1874.0909019143271</v>
      </c>
      <c r="I948" s="42">
        <f t="shared" ca="1" si="78"/>
        <v>0</v>
      </c>
    </row>
    <row r="949" spans="5:9" x14ac:dyDescent="0.25">
      <c r="E949">
        <f t="shared" si="79"/>
        <v>939</v>
      </c>
      <c r="F949" s="39">
        <f t="shared" ca="1" si="75"/>
        <v>14.64425994908764</v>
      </c>
      <c r="G949" s="42">
        <f t="shared" ca="1" si="76"/>
        <v>453.68353852354159</v>
      </c>
      <c r="H949" s="42">
        <f t="shared" ca="1" si="77"/>
        <v>425.68353852354159</v>
      </c>
      <c r="I949" s="42">
        <f t="shared" ca="1" si="78"/>
        <v>0</v>
      </c>
    </row>
    <row r="950" spans="5:9" x14ac:dyDescent="0.25">
      <c r="E950">
        <f t="shared" si="79"/>
        <v>940</v>
      </c>
      <c r="F950" s="39">
        <f t="shared" ca="1" si="75"/>
        <v>65.862472876312907</v>
      </c>
      <c r="G950" s="42">
        <f t="shared" ca="1" si="76"/>
        <v>1939.0117134130744</v>
      </c>
      <c r="H950" s="42">
        <f t="shared" ca="1" si="77"/>
        <v>1911.0117134130744</v>
      </c>
      <c r="I950" s="42">
        <f t="shared" ca="1" si="78"/>
        <v>0</v>
      </c>
    </row>
    <row r="951" spans="5:9" x14ac:dyDescent="0.25">
      <c r="E951">
        <f t="shared" si="79"/>
        <v>941</v>
      </c>
      <c r="F951" s="39">
        <f t="shared" ca="1" si="75"/>
        <v>54.142003486756131</v>
      </c>
      <c r="G951" s="42">
        <f t="shared" ca="1" si="76"/>
        <v>1599.1181011159279</v>
      </c>
      <c r="H951" s="42">
        <f t="shared" ca="1" si="77"/>
        <v>1571.1181011159279</v>
      </c>
      <c r="I951" s="42">
        <f t="shared" ca="1" si="78"/>
        <v>0</v>
      </c>
    </row>
    <row r="952" spans="5:9" x14ac:dyDescent="0.25">
      <c r="E952">
        <f t="shared" si="79"/>
        <v>942</v>
      </c>
      <c r="F952" s="39">
        <f t="shared" ca="1" si="75"/>
        <v>-7.8324703113563459</v>
      </c>
      <c r="G952" s="42">
        <f t="shared" ca="1" si="76"/>
        <v>-198.14163902933404</v>
      </c>
      <c r="H952" s="42">
        <f t="shared" ca="1" si="77"/>
        <v>-226.14163902933404</v>
      </c>
      <c r="I952" s="42">
        <f t="shared" ca="1" si="78"/>
        <v>0</v>
      </c>
    </row>
    <row r="953" spans="5:9" x14ac:dyDescent="0.25">
      <c r="E953">
        <f t="shared" si="79"/>
        <v>943</v>
      </c>
      <c r="F953" s="39">
        <f t="shared" ca="1" si="75"/>
        <v>58.283060555592385</v>
      </c>
      <c r="G953" s="42">
        <f t="shared" ca="1" si="76"/>
        <v>1719.2087561121791</v>
      </c>
      <c r="H953" s="42">
        <f t="shared" ca="1" si="77"/>
        <v>1691.2087561121791</v>
      </c>
      <c r="I953" s="42">
        <f t="shared" ca="1" si="78"/>
        <v>0</v>
      </c>
    </row>
    <row r="954" spans="5:9" x14ac:dyDescent="0.25">
      <c r="E954">
        <f t="shared" si="79"/>
        <v>944</v>
      </c>
      <c r="F954" s="39">
        <f t="shared" ca="1" si="75"/>
        <v>89.149470794119864</v>
      </c>
      <c r="G954" s="42">
        <f t="shared" ca="1" si="76"/>
        <v>2614.3346530294762</v>
      </c>
      <c r="H954" s="42">
        <f t="shared" ca="1" si="77"/>
        <v>2586.3346530294762</v>
      </c>
      <c r="I954" s="42">
        <f t="shared" ca="1" si="78"/>
        <v>0</v>
      </c>
    </row>
    <row r="955" spans="5:9" x14ac:dyDescent="0.25">
      <c r="E955">
        <f t="shared" si="79"/>
        <v>945</v>
      </c>
      <c r="F955" s="39">
        <f t="shared" ca="1" si="75"/>
        <v>50.821348818068572</v>
      </c>
      <c r="G955" s="42">
        <f t="shared" ca="1" si="76"/>
        <v>1502.8191157239885</v>
      </c>
      <c r="H955" s="42">
        <f t="shared" ca="1" si="77"/>
        <v>1474.8191157239885</v>
      </c>
      <c r="I955" s="42">
        <f t="shared" ca="1" si="78"/>
        <v>0</v>
      </c>
    </row>
    <row r="956" spans="5:9" x14ac:dyDescent="0.25">
      <c r="E956">
        <f t="shared" si="79"/>
        <v>946</v>
      </c>
      <c r="F956" s="39">
        <f t="shared" ca="1" si="75"/>
        <v>74.544302126073006</v>
      </c>
      <c r="G956" s="42">
        <f t="shared" ca="1" si="76"/>
        <v>2190.7847616561171</v>
      </c>
      <c r="H956" s="42">
        <f t="shared" ca="1" si="77"/>
        <v>2162.7847616561171</v>
      </c>
      <c r="I956" s="42">
        <f t="shared" ca="1" si="78"/>
        <v>0</v>
      </c>
    </row>
    <row r="957" spans="5:9" x14ac:dyDescent="0.25">
      <c r="E957">
        <f t="shared" si="79"/>
        <v>947</v>
      </c>
      <c r="F957" s="39">
        <f t="shared" ca="1" si="75"/>
        <v>53.067283749481831</v>
      </c>
      <c r="G957" s="42">
        <f t="shared" ca="1" si="76"/>
        <v>1567.951228734973</v>
      </c>
      <c r="H957" s="42">
        <f t="shared" ca="1" si="77"/>
        <v>1539.951228734973</v>
      </c>
      <c r="I957" s="42">
        <f t="shared" ca="1" si="78"/>
        <v>0</v>
      </c>
    </row>
    <row r="958" spans="5:9" x14ac:dyDescent="0.25">
      <c r="E958">
        <f t="shared" si="79"/>
        <v>948</v>
      </c>
      <c r="F958" s="39">
        <f t="shared" ca="1" si="75"/>
        <v>108.09632851646764</v>
      </c>
      <c r="G958" s="42">
        <f t="shared" ca="1" si="76"/>
        <v>3163.7935269775617</v>
      </c>
      <c r="H958" s="42">
        <f t="shared" ca="1" si="77"/>
        <v>3135.7935269775617</v>
      </c>
      <c r="I958" s="42">
        <f t="shared" ca="1" si="78"/>
        <v>0</v>
      </c>
    </row>
    <row r="959" spans="5:9" x14ac:dyDescent="0.25">
      <c r="E959">
        <f t="shared" si="79"/>
        <v>949</v>
      </c>
      <c r="F959" s="39">
        <f t="shared" ca="1" si="75"/>
        <v>33.295737483949154</v>
      </c>
      <c r="G959" s="42">
        <f t="shared" ca="1" si="76"/>
        <v>994.5763870345254</v>
      </c>
      <c r="H959" s="42">
        <f t="shared" ca="1" si="77"/>
        <v>966.5763870345254</v>
      </c>
      <c r="I959" s="42">
        <f t="shared" ca="1" si="78"/>
        <v>0</v>
      </c>
    </row>
    <row r="960" spans="5:9" x14ac:dyDescent="0.25">
      <c r="E960">
        <f t="shared" si="79"/>
        <v>950</v>
      </c>
      <c r="F960" s="39">
        <f t="shared" ca="1" si="75"/>
        <v>35.350589462974455</v>
      </c>
      <c r="G960" s="42">
        <f t="shared" ca="1" si="76"/>
        <v>1054.1670944262592</v>
      </c>
      <c r="H960" s="42">
        <f t="shared" ca="1" si="77"/>
        <v>1026.1670944262592</v>
      </c>
      <c r="I960" s="42">
        <f t="shared" ca="1" si="78"/>
        <v>0</v>
      </c>
    </row>
    <row r="961" spans="5:9" x14ac:dyDescent="0.25">
      <c r="E961">
        <f t="shared" si="79"/>
        <v>951</v>
      </c>
      <c r="F961" s="39">
        <f t="shared" ca="1" si="75"/>
        <v>90.715836372344313</v>
      </c>
      <c r="G961" s="42">
        <f t="shared" ca="1" si="76"/>
        <v>2659.7592547979852</v>
      </c>
      <c r="H961" s="42">
        <f t="shared" ca="1" si="77"/>
        <v>2631.7592547979852</v>
      </c>
      <c r="I961" s="42">
        <f t="shared" ca="1" si="78"/>
        <v>0</v>
      </c>
    </row>
    <row r="962" spans="5:9" x14ac:dyDescent="0.25">
      <c r="E962">
        <f t="shared" si="79"/>
        <v>952</v>
      </c>
      <c r="F962" s="39">
        <f t="shared" ca="1" si="75"/>
        <v>40.827348809958963</v>
      </c>
      <c r="G962" s="42">
        <f t="shared" ca="1" si="76"/>
        <v>1212.99311548881</v>
      </c>
      <c r="H962" s="42">
        <f t="shared" ca="1" si="77"/>
        <v>1184.99311548881</v>
      </c>
      <c r="I962" s="42">
        <f t="shared" ca="1" si="78"/>
        <v>0</v>
      </c>
    </row>
    <row r="963" spans="5:9" x14ac:dyDescent="0.25">
      <c r="E963">
        <f t="shared" si="79"/>
        <v>953</v>
      </c>
      <c r="F963" s="39">
        <f t="shared" ca="1" si="75"/>
        <v>42.95012527359426</v>
      </c>
      <c r="G963" s="42">
        <f t="shared" ca="1" si="76"/>
        <v>1274.5536329342335</v>
      </c>
      <c r="H963" s="42">
        <f t="shared" ca="1" si="77"/>
        <v>1246.5536329342335</v>
      </c>
      <c r="I963" s="42">
        <f t="shared" ca="1" si="78"/>
        <v>0</v>
      </c>
    </row>
    <row r="964" spans="5:9" x14ac:dyDescent="0.25">
      <c r="E964">
        <f t="shared" si="79"/>
        <v>954</v>
      </c>
      <c r="F964" s="39">
        <f t="shared" ca="1" si="75"/>
        <v>16.421097137904088</v>
      </c>
      <c r="G964" s="42">
        <f t="shared" ca="1" si="76"/>
        <v>505.21181699921857</v>
      </c>
      <c r="H964" s="42">
        <f t="shared" ca="1" si="77"/>
        <v>477.21181699921857</v>
      </c>
      <c r="I964" s="42">
        <f t="shared" ca="1" si="78"/>
        <v>0</v>
      </c>
    </row>
    <row r="965" spans="5:9" x14ac:dyDescent="0.25">
      <c r="E965">
        <f t="shared" si="79"/>
        <v>955</v>
      </c>
      <c r="F965" s="39">
        <f t="shared" ca="1" si="75"/>
        <v>7.1671089501665257</v>
      </c>
      <c r="G965" s="42">
        <f t="shared" ca="1" si="76"/>
        <v>236.84615955482926</v>
      </c>
      <c r="H965" s="42">
        <f t="shared" ca="1" si="77"/>
        <v>208.84615955482926</v>
      </c>
      <c r="I965" s="42">
        <f t="shared" ca="1" si="78"/>
        <v>0</v>
      </c>
    </row>
    <row r="966" spans="5:9" x14ac:dyDescent="0.25">
      <c r="E966">
        <f t="shared" si="79"/>
        <v>956</v>
      </c>
      <c r="F966" s="39">
        <f t="shared" ca="1" si="75"/>
        <v>44.457010950741861</v>
      </c>
      <c r="G966" s="42">
        <f t="shared" ca="1" si="76"/>
        <v>1318.2533175715139</v>
      </c>
      <c r="H966" s="42">
        <f t="shared" ca="1" si="77"/>
        <v>1290.2533175715139</v>
      </c>
      <c r="I966" s="42">
        <f t="shared" ca="1" si="78"/>
        <v>0</v>
      </c>
    </row>
    <row r="967" spans="5:9" x14ac:dyDescent="0.25">
      <c r="E967">
        <f t="shared" si="79"/>
        <v>957</v>
      </c>
      <c r="F967" s="39">
        <f t="shared" ca="1" si="75"/>
        <v>11.659687074004637</v>
      </c>
      <c r="G967" s="42">
        <f t="shared" ca="1" si="76"/>
        <v>367.13092514613447</v>
      </c>
      <c r="H967" s="42">
        <f t="shared" ca="1" si="77"/>
        <v>339.13092514613447</v>
      </c>
      <c r="I967" s="42">
        <f t="shared" ca="1" si="78"/>
        <v>0</v>
      </c>
    </row>
    <row r="968" spans="5:9" x14ac:dyDescent="0.25">
      <c r="E968">
        <f t="shared" si="79"/>
        <v>958</v>
      </c>
      <c r="F968" s="39">
        <f t="shared" ca="1" si="75"/>
        <v>68.666150974223385</v>
      </c>
      <c r="G968" s="42">
        <f t="shared" ca="1" si="76"/>
        <v>2020.3183782524782</v>
      </c>
      <c r="H968" s="42">
        <f t="shared" ca="1" si="77"/>
        <v>1992.3183782524782</v>
      </c>
      <c r="I968" s="42">
        <f t="shared" ca="1" si="78"/>
        <v>0</v>
      </c>
    </row>
    <row r="969" spans="5:9" x14ac:dyDescent="0.25">
      <c r="E969">
        <f t="shared" si="79"/>
        <v>959</v>
      </c>
      <c r="F969" s="39">
        <f t="shared" ca="1" si="75"/>
        <v>40.50437234453149</v>
      </c>
      <c r="G969" s="42">
        <f t="shared" ca="1" si="76"/>
        <v>1203.6267979914132</v>
      </c>
      <c r="H969" s="42">
        <f t="shared" ca="1" si="77"/>
        <v>1175.6267979914132</v>
      </c>
      <c r="I969" s="42">
        <f t="shared" ca="1" si="78"/>
        <v>0</v>
      </c>
    </row>
    <row r="970" spans="5:9" x14ac:dyDescent="0.25">
      <c r="E970">
        <f t="shared" si="79"/>
        <v>960</v>
      </c>
      <c r="F970" s="39">
        <f t="shared" ca="1" si="75"/>
        <v>51.328029079552579</v>
      </c>
      <c r="G970" s="42">
        <f t="shared" ca="1" si="76"/>
        <v>1517.5128433070247</v>
      </c>
      <c r="H970" s="42">
        <f t="shared" ca="1" si="77"/>
        <v>1489.5128433070247</v>
      </c>
      <c r="I970" s="42">
        <f t="shared" ca="1" si="78"/>
        <v>0</v>
      </c>
    </row>
    <row r="971" spans="5:9" x14ac:dyDescent="0.25">
      <c r="E971">
        <f t="shared" si="79"/>
        <v>961</v>
      </c>
      <c r="F971" s="39">
        <f t="shared" ca="1" si="75"/>
        <v>82.488986803536648</v>
      </c>
      <c r="G971" s="42">
        <f t="shared" ca="1" si="76"/>
        <v>2421.180617302563</v>
      </c>
      <c r="H971" s="42">
        <f t="shared" ca="1" si="77"/>
        <v>2393.180617302563</v>
      </c>
      <c r="I971" s="42">
        <f t="shared" ca="1" si="78"/>
        <v>0</v>
      </c>
    </row>
    <row r="972" spans="5:9" x14ac:dyDescent="0.25">
      <c r="E972">
        <f t="shared" si="79"/>
        <v>962</v>
      </c>
      <c r="F972" s="39">
        <f t="shared" ref="F972:F1009" ca="1" si="80">_xlfn.NORM.INV(RAND(),$E$45,$E$46)</f>
        <v>26.450873508845405</v>
      </c>
      <c r="G972" s="42">
        <f t="shared" ref="G972:G1010" ca="1" si="81">$E$39*(1+F972)</f>
        <v>796.07533175651679</v>
      </c>
      <c r="H972" s="42">
        <f t="shared" ref="H972:H1010" ca="1" si="82">MAX(G972-$E$38)</f>
        <v>768.07533175651679</v>
      </c>
      <c r="I972" s="42">
        <f t="shared" ref="I972:I1010" ca="1" si="83">MAX($E$38-$H$43,0)</f>
        <v>0</v>
      </c>
    </row>
    <row r="973" spans="5:9" x14ac:dyDescent="0.25">
      <c r="E973">
        <f t="shared" ref="E973:E1010" si="84">E972+1</f>
        <v>963</v>
      </c>
      <c r="F973" s="39">
        <f t="shared" ca="1" si="80"/>
        <v>19.038911036716293</v>
      </c>
      <c r="G973" s="42">
        <f t="shared" ca="1" si="81"/>
        <v>581.12842006477251</v>
      </c>
      <c r="H973" s="42">
        <f t="shared" ca="1" si="82"/>
        <v>553.12842006477251</v>
      </c>
      <c r="I973" s="42">
        <f t="shared" ca="1" si="83"/>
        <v>0</v>
      </c>
    </row>
    <row r="974" spans="5:9" x14ac:dyDescent="0.25">
      <c r="E974">
        <f t="shared" si="84"/>
        <v>964</v>
      </c>
      <c r="F974" s="39">
        <f t="shared" ca="1" si="80"/>
        <v>54.358820015215699</v>
      </c>
      <c r="G974" s="42">
        <f t="shared" ca="1" si="81"/>
        <v>1605.4057804412553</v>
      </c>
      <c r="H974" s="42">
        <f t="shared" ca="1" si="82"/>
        <v>1577.4057804412553</v>
      </c>
      <c r="I974" s="42">
        <f t="shared" ca="1" si="83"/>
        <v>0</v>
      </c>
    </row>
    <row r="975" spans="5:9" x14ac:dyDescent="0.25">
      <c r="E975">
        <f t="shared" si="84"/>
        <v>965</v>
      </c>
      <c r="F975" s="39">
        <f t="shared" ca="1" si="80"/>
        <v>69.08461308832841</v>
      </c>
      <c r="G975" s="42">
        <f t="shared" ca="1" si="81"/>
        <v>2032.4537795615238</v>
      </c>
      <c r="H975" s="42">
        <f t="shared" ca="1" si="82"/>
        <v>2004.4537795615238</v>
      </c>
      <c r="I975" s="42">
        <f t="shared" ca="1" si="83"/>
        <v>0</v>
      </c>
    </row>
    <row r="976" spans="5:9" x14ac:dyDescent="0.25">
      <c r="E976">
        <f t="shared" si="84"/>
        <v>966</v>
      </c>
      <c r="F976" s="39">
        <f t="shared" ca="1" si="80"/>
        <v>34.496712171687626</v>
      </c>
      <c r="G976" s="42">
        <f t="shared" ca="1" si="81"/>
        <v>1029.4046529789412</v>
      </c>
      <c r="H976" s="42">
        <f t="shared" ca="1" si="82"/>
        <v>1001.4046529789412</v>
      </c>
      <c r="I976" s="42">
        <f t="shared" ca="1" si="83"/>
        <v>0</v>
      </c>
    </row>
    <row r="977" spans="5:9" x14ac:dyDescent="0.25">
      <c r="E977">
        <f t="shared" si="84"/>
        <v>967</v>
      </c>
      <c r="F977" s="39">
        <f t="shared" ca="1" si="80"/>
        <v>37.496728166648147</v>
      </c>
      <c r="G977" s="42">
        <f t="shared" ca="1" si="81"/>
        <v>1116.4051168327962</v>
      </c>
      <c r="H977" s="42">
        <f t="shared" ca="1" si="82"/>
        <v>1088.4051168327962</v>
      </c>
      <c r="I977" s="42">
        <f t="shared" ca="1" si="83"/>
        <v>0</v>
      </c>
    </row>
    <row r="978" spans="5:9" x14ac:dyDescent="0.25">
      <c r="E978">
        <f t="shared" si="84"/>
        <v>968</v>
      </c>
      <c r="F978" s="39">
        <f t="shared" ca="1" si="80"/>
        <v>70.185848390394924</v>
      </c>
      <c r="G978" s="42">
        <f t="shared" ca="1" si="81"/>
        <v>2064.3896033214528</v>
      </c>
      <c r="H978" s="42">
        <f t="shared" ca="1" si="82"/>
        <v>2036.3896033214528</v>
      </c>
      <c r="I978" s="42">
        <f t="shared" ca="1" si="83"/>
        <v>0</v>
      </c>
    </row>
    <row r="979" spans="5:9" x14ac:dyDescent="0.25">
      <c r="E979">
        <f t="shared" si="84"/>
        <v>969</v>
      </c>
      <c r="F979" s="39">
        <f t="shared" ca="1" si="80"/>
        <v>34.958936627966409</v>
      </c>
      <c r="G979" s="42">
        <f t="shared" ca="1" si="81"/>
        <v>1042.809162211026</v>
      </c>
      <c r="H979" s="42">
        <f t="shared" ca="1" si="82"/>
        <v>1014.809162211026</v>
      </c>
      <c r="I979" s="42">
        <f t="shared" ca="1" si="83"/>
        <v>0</v>
      </c>
    </row>
    <row r="980" spans="5:9" x14ac:dyDescent="0.25">
      <c r="E980">
        <f t="shared" si="84"/>
        <v>970</v>
      </c>
      <c r="F980" s="39">
        <f t="shared" ca="1" si="80"/>
        <v>11.865044665398067</v>
      </c>
      <c r="G980" s="42">
        <f t="shared" ca="1" si="81"/>
        <v>373.08629529654394</v>
      </c>
      <c r="H980" s="42">
        <f t="shared" ca="1" si="82"/>
        <v>345.08629529654394</v>
      </c>
      <c r="I980" s="42">
        <f t="shared" ca="1" si="83"/>
        <v>0</v>
      </c>
    </row>
    <row r="981" spans="5:9" x14ac:dyDescent="0.25">
      <c r="E981">
        <f t="shared" si="84"/>
        <v>971</v>
      </c>
      <c r="F981" s="39">
        <f t="shared" ca="1" si="80"/>
        <v>59.984998379596497</v>
      </c>
      <c r="G981" s="42">
        <f t="shared" ca="1" si="81"/>
        <v>1768.5649530082985</v>
      </c>
      <c r="H981" s="42">
        <f t="shared" ca="1" si="82"/>
        <v>1740.5649530082985</v>
      </c>
      <c r="I981" s="42">
        <f t="shared" ca="1" si="83"/>
        <v>0</v>
      </c>
    </row>
    <row r="982" spans="5:9" x14ac:dyDescent="0.25">
      <c r="E982">
        <f t="shared" si="84"/>
        <v>972</v>
      </c>
      <c r="F982" s="39">
        <f t="shared" ca="1" si="80"/>
        <v>60.430870289843632</v>
      </c>
      <c r="G982" s="42">
        <f t="shared" ca="1" si="81"/>
        <v>1781.4952384054654</v>
      </c>
      <c r="H982" s="42">
        <f t="shared" ca="1" si="82"/>
        <v>1753.4952384054654</v>
      </c>
      <c r="I982" s="42">
        <f t="shared" ca="1" si="83"/>
        <v>0</v>
      </c>
    </row>
    <row r="983" spans="5:9" x14ac:dyDescent="0.25">
      <c r="E983">
        <f t="shared" si="84"/>
        <v>973</v>
      </c>
      <c r="F983" s="39">
        <f t="shared" ca="1" si="80"/>
        <v>24.558727388114242</v>
      </c>
      <c r="G983" s="42">
        <f t="shared" ca="1" si="81"/>
        <v>741.20309425531298</v>
      </c>
      <c r="H983" s="42">
        <f t="shared" ca="1" si="82"/>
        <v>713.20309425531298</v>
      </c>
      <c r="I983" s="42">
        <f t="shared" ca="1" si="83"/>
        <v>0</v>
      </c>
    </row>
    <row r="984" spans="5:9" x14ac:dyDescent="0.25">
      <c r="E984">
        <f t="shared" si="84"/>
        <v>974</v>
      </c>
      <c r="F984" s="39">
        <f t="shared" ca="1" si="80"/>
        <v>50.343729218200274</v>
      </c>
      <c r="G984" s="42">
        <f t="shared" ca="1" si="81"/>
        <v>1488.9681473278079</v>
      </c>
      <c r="H984" s="42">
        <f t="shared" ca="1" si="82"/>
        <v>1460.9681473278079</v>
      </c>
      <c r="I984" s="42">
        <f t="shared" ca="1" si="83"/>
        <v>0</v>
      </c>
    </row>
    <row r="985" spans="5:9" x14ac:dyDescent="0.25">
      <c r="E985">
        <f t="shared" si="84"/>
        <v>975</v>
      </c>
      <c r="F985" s="39">
        <f t="shared" ca="1" si="80"/>
        <v>106.40732276281835</v>
      </c>
      <c r="G985" s="42">
        <f t="shared" ca="1" si="81"/>
        <v>3114.8123601217321</v>
      </c>
      <c r="H985" s="42">
        <f t="shared" ca="1" si="82"/>
        <v>3086.8123601217321</v>
      </c>
      <c r="I985" s="42">
        <f t="shared" ca="1" si="83"/>
        <v>0</v>
      </c>
    </row>
    <row r="986" spans="5:9" x14ac:dyDescent="0.25">
      <c r="E986">
        <f t="shared" si="84"/>
        <v>976</v>
      </c>
      <c r="F986" s="39">
        <f t="shared" ca="1" si="80"/>
        <v>24.670461807910431</v>
      </c>
      <c r="G986" s="42">
        <f t="shared" ca="1" si="81"/>
        <v>744.44339242940248</v>
      </c>
      <c r="H986" s="42">
        <f t="shared" ca="1" si="82"/>
        <v>716.44339242940248</v>
      </c>
      <c r="I986" s="42">
        <f t="shared" ca="1" si="83"/>
        <v>0</v>
      </c>
    </row>
    <row r="987" spans="5:9" x14ac:dyDescent="0.25">
      <c r="E987">
        <f t="shared" si="84"/>
        <v>977</v>
      </c>
      <c r="F987" s="39">
        <f t="shared" ca="1" si="80"/>
        <v>62.455398509374703</v>
      </c>
      <c r="G987" s="42">
        <f t="shared" ca="1" si="81"/>
        <v>1840.2065567718664</v>
      </c>
      <c r="H987" s="42">
        <f t="shared" ca="1" si="82"/>
        <v>1812.2065567718664</v>
      </c>
      <c r="I987" s="42">
        <f t="shared" ca="1" si="83"/>
        <v>0</v>
      </c>
    </row>
    <row r="988" spans="5:9" x14ac:dyDescent="0.25">
      <c r="E988">
        <f t="shared" si="84"/>
        <v>978</v>
      </c>
      <c r="F988" s="39">
        <f t="shared" ca="1" si="80"/>
        <v>27.521278163784853</v>
      </c>
      <c r="G988" s="42">
        <f t="shared" ca="1" si="81"/>
        <v>827.11706674976074</v>
      </c>
      <c r="H988" s="42">
        <f t="shared" ca="1" si="82"/>
        <v>799.11706674976074</v>
      </c>
      <c r="I988" s="42">
        <f t="shared" ca="1" si="83"/>
        <v>0</v>
      </c>
    </row>
    <row r="989" spans="5:9" x14ac:dyDescent="0.25">
      <c r="E989">
        <f t="shared" si="84"/>
        <v>979</v>
      </c>
      <c r="F989" s="39">
        <f t="shared" ca="1" si="80"/>
        <v>8.1749750324210844</v>
      </c>
      <c r="G989" s="42">
        <f t="shared" ca="1" si="81"/>
        <v>266.07427594021146</v>
      </c>
      <c r="H989" s="42">
        <f t="shared" ca="1" si="82"/>
        <v>238.07427594021146</v>
      </c>
      <c r="I989" s="42">
        <f t="shared" ca="1" si="83"/>
        <v>0</v>
      </c>
    </row>
    <row r="990" spans="5:9" x14ac:dyDescent="0.25">
      <c r="E990">
        <f t="shared" si="84"/>
        <v>980</v>
      </c>
      <c r="F990" s="39">
        <f t="shared" ca="1" si="80"/>
        <v>8.9019940578273236</v>
      </c>
      <c r="G990" s="42">
        <f t="shared" ca="1" si="81"/>
        <v>287.15782767699238</v>
      </c>
      <c r="H990" s="42">
        <f t="shared" ca="1" si="82"/>
        <v>259.15782767699238</v>
      </c>
      <c r="I990" s="42">
        <f t="shared" ca="1" si="83"/>
        <v>0</v>
      </c>
    </row>
    <row r="991" spans="5:9" x14ac:dyDescent="0.25">
      <c r="E991">
        <f t="shared" si="84"/>
        <v>981</v>
      </c>
      <c r="F991" s="39">
        <f t="shared" ca="1" si="80"/>
        <v>107.30072901200228</v>
      </c>
      <c r="G991" s="42">
        <f t="shared" ca="1" si="81"/>
        <v>3140.7211413480659</v>
      </c>
      <c r="H991" s="42">
        <f t="shared" ca="1" si="82"/>
        <v>3112.7211413480659</v>
      </c>
      <c r="I991" s="42">
        <f t="shared" ca="1" si="83"/>
        <v>0</v>
      </c>
    </row>
    <row r="992" spans="5:9" x14ac:dyDescent="0.25">
      <c r="E992">
        <f t="shared" si="84"/>
        <v>982</v>
      </c>
      <c r="F992" s="39">
        <f t="shared" ca="1" si="80"/>
        <v>-2.5405499296668665</v>
      </c>
      <c r="G992" s="42">
        <f t="shared" ca="1" si="81"/>
        <v>-44.67594796033913</v>
      </c>
      <c r="H992" s="42">
        <f t="shared" ca="1" si="82"/>
        <v>-72.67594796033913</v>
      </c>
      <c r="I992" s="42">
        <f t="shared" ca="1" si="83"/>
        <v>0</v>
      </c>
    </row>
    <row r="993" spans="5:9" x14ac:dyDescent="0.25">
      <c r="E993">
        <f t="shared" si="84"/>
        <v>983</v>
      </c>
      <c r="F993" s="39">
        <f t="shared" ca="1" si="80"/>
        <v>0.51443443064025018</v>
      </c>
      <c r="G993" s="42">
        <f t="shared" ca="1" si="81"/>
        <v>43.918598488567255</v>
      </c>
      <c r="H993" s="42">
        <f t="shared" ca="1" si="82"/>
        <v>15.918598488567255</v>
      </c>
      <c r="I993" s="42">
        <f t="shared" ca="1" si="83"/>
        <v>0</v>
      </c>
    </row>
    <row r="994" spans="5:9" x14ac:dyDescent="0.25">
      <c r="E994">
        <f t="shared" si="84"/>
        <v>984</v>
      </c>
      <c r="F994" s="39">
        <f t="shared" ca="1" si="80"/>
        <v>21.19115193910562</v>
      </c>
      <c r="G994" s="42">
        <f t="shared" ca="1" si="81"/>
        <v>643.54340623406301</v>
      </c>
      <c r="H994" s="42">
        <f t="shared" ca="1" si="82"/>
        <v>615.54340623406301</v>
      </c>
      <c r="I994" s="42">
        <f t="shared" ca="1" si="83"/>
        <v>0</v>
      </c>
    </row>
    <row r="995" spans="5:9" x14ac:dyDescent="0.25">
      <c r="E995">
        <f t="shared" si="84"/>
        <v>985</v>
      </c>
      <c r="F995" s="39">
        <f t="shared" ca="1" si="80"/>
        <v>77.481689996620275</v>
      </c>
      <c r="G995" s="42">
        <f t="shared" ca="1" si="81"/>
        <v>2275.9690099019881</v>
      </c>
      <c r="H995" s="42">
        <f t="shared" ca="1" si="82"/>
        <v>2247.9690099019881</v>
      </c>
      <c r="I995" s="42">
        <f t="shared" ca="1" si="83"/>
        <v>0</v>
      </c>
    </row>
    <row r="996" spans="5:9" x14ac:dyDescent="0.25">
      <c r="E996">
        <f t="shared" si="84"/>
        <v>986</v>
      </c>
      <c r="F996" s="39">
        <f t="shared" ca="1" si="80"/>
        <v>1.6429940653041157</v>
      </c>
      <c r="G996" s="42">
        <f t="shared" ca="1" si="81"/>
        <v>76.646827893819363</v>
      </c>
      <c r="H996" s="42">
        <f t="shared" ca="1" si="82"/>
        <v>48.646827893819363</v>
      </c>
      <c r="I996" s="42">
        <f t="shared" ca="1" si="83"/>
        <v>0</v>
      </c>
    </row>
    <row r="997" spans="5:9" x14ac:dyDescent="0.25">
      <c r="E997">
        <f t="shared" si="84"/>
        <v>987</v>
      </c>
      <c r="F997" s="39">
        <f t="shared" ca="1" si="80"/>
        <v>35.963508317410117</v>
      </c>
      <c r="G997" s="42">
        <f t="shared" ca="1" si="81"/>
        <v>1071.9417412048933</v>
      </c>
      <c r="H997" s="42">
        <f t="shared" ca="1" si="82"/>
        <v>1043.9417412048933</v>
      </c>
      <c r="I997" s="42">
        <f t="shared" ca="1" si="83"/>
        <v>0</v>
      </c>
    </row>
    <row r="998" spans="5:9" x14ac:dyDescent="0.25">
      <c r="E998">
        <f t="shared" si="84"/>
        <v>988</v>
      </c>
      <c r="F998" s="39">
        <f t="shared" ca="1" si="80"/>
        <v>-30.313248183731332</v>
      </c>
      <c r="G998" s="42">
        <f t="shared" ca="1" si="81"/>
        <v>-850.08419732820857</v>
      </c>
      <c r="H998" s="42">
        <f t="shared" ca="1" si="82"/>
        <v>-878.08419732820857</v>
      </c>
      <c r="I998" s="42">
        <f t="shared" ca="1" si="83"/>
        <v>0</v>
      </c>
    </row>
    <row r="999" spans="5:9" x14ac:dyDescent="0.25">
      <c r="E999">
        <f t="shared" si="84"/>
        <v>989</v>
      </c>
      <c r="F999" s="39">
        <f t="shared" ca="1" si="80"/>
        <v>-24.922744650991973</v>
      </c>
      <c r="G999" s="42">
        <f t="shared" ca="1" si="81"/>
        <v>-693.75959487876719</v>
      </c>
      <c r="H999" s="42">
        <f t="shared" ca="1" si="82"/>
        <v>-721.75959487876719</v>
      </c>
      <c r="I999" s="42">
        <f t="shared" ca="1" si="83"/>
        <v>0</v>
      </c>
    </row>
    <row r="1000" spans="5:9" x14ac:dyDescent="0.25">
      <c r="E1000">
        <f t="shared" si="84"/>
        <v>990</v>
      </c>
      <c r="F1000" s="39">
        <f t="shared" ca="1" si="80"/>
        <v>64.827839520419616</v>
      </c>
      <c r="G1000" s="42">
        <f t="shared" ca="1" si="81"/>
        <v>1909.007346092169</v>
      </c>
      <c r="H1000" s="42">
        <f t="shared" ca="1" si="82"/>
        <v>1881.007346092169</v>
      </c>
      <c r="I1000" s="42">
        <f t="shared" ca="1" si="83"/>
        <v>0</v>
      </c>
    </row>
    <row r="1001" spans="5:9" x14ac:dyDescent="0.25">
      <c r="E1001">
        <f t="shared" si="84"/>
        <v>991</v>
      </c>
      <c r="F1001" s="39">
        <f t="shared" ca="1" si="80"/>
        <v>91.034117165955621</v>
      </c>
      <c r="G1001" s="42">
        <f t="shared" ca="1" si="81"/>
        <v>2668.9893978127129</v>
      </c>
      <c r="H1001" s="42">
        <f t="shared" ca="1" si="82"/>
        <v>2640.9893978127129</v>
      </c>
      <c r="I1001" s="42">
        <f t="shared" ca="1" si="83"/>
        <v>0</v>
      </c>
    </row>
    <row r="1002" spans="5:9" x14ac:dyDescent="0.25">
      <c r="E1002">
        <f t="shared" si="84"/>
        <v>992</v>
      </c>
      <c r="F1002" s="39">
        <f t="shared" ca="1" si="80"/>
        <v>-20.505765027808394</v>
      </c>
      <c r="G1002" s="42">
        <f t="shared" ca="1" si="81"/>
        <v>-565.6671858064434</v>
      </c>
      <c r="H1002" s="42">
        <f t="shared" ca="1" si="82"/>
        <v>-593.6671858064434</v>
      </c>
      <c r="I1002" s="42">
        <f t="shared" ca="1" si="83"/>
        <v>0</v>
      </c>
    </row>
    <row r="1003" spans="5:9" x14ac:dyDescent="0.25">
      <c r="E1003">
        <f t="shared" si="84"/>
        <v>993</v>
      </c>
      <c r="F1003" s="39">
        <f t="shared" ca="1" si="80"/>
        <v>-3.5882959540528674</v>
      </c>
      <c r="G1003" s="42">
        <f t="shared" ca="1" si="81"/>
        <v>-75.060582667533154</v>
      </c>
      <c r="H1003" s="42">
        <f t="shared" ca="1" si="82"/>
        <v>-103.06058266753315</v>
      </c>
      <c r="I1003" s="42">
        <f t="shared" ca="1" si="83"/>
        <v>0</v>
      </c>
    </row>
    <row r="1004" spans="5:9" x14ac:dyDescent="0.25">
      <c r="E1004">
        <f t="shared" si="84"/>
        <v>994</v>
      </c>
      <c r="F1004" s="39">
        <f t="shared" ca="1" si="80"/>
        <v>53.876110121182208</v>
      </c>
      <c r="G1004" s="42">
        <f t="shared" ca="1" si="81"/>
        <v>1591.407193514284</v>
      </c>
      <c r="H1004" s="42">
        <f t="shared" ca="1" si="82"/>
        <v>1563.407193514284</v>
      </c>
      <c r="I1004" s="42">
        <f t="shared" ca="1" si="83"/>
        <v>0</v>
      </c>
    </row>
    <row r="1005" spans="5:9" x14ac:dyDescent="0.25">
      <c r="E1005">
        <f t="shared" si="84"/>
        <v>995</v>
      </c>
      <c r="F1005" s="39">
        <f t="shared" ca="1" si="80"/>
        <v>0.9451459634908872</v>
      </c>
      <c r="G1005" s="42">
        <f t="shared" ca="1" si="81"/>
        <v>56.409232941235729</v>
      </c>
      <c r="H1005" s="42">
        <f t="shared" ca="1" si="82"/>
        <v>28.409232941235729</v>
      </c>
      <c r="I1005" s="42">
        <f t="shared" ca="1" si="83"/>
        <v>0</v>
      </c>
    </row>
    <row r="1006" spans="5:9" x14ac:dyDescent="0.25">
      <c r="E1006">
        <f t="shared" si="84"/>
        <v>996</v>
      </c>
      <c r="F1006" s="39">
        <f t="shared" ca="1" si="80"/>
        <v>29.360800574588101</v>
      </c>
      <c r="G1006" s="42">
        <f t="shared" ca="1" si="81"/>
        <v>880.46321666305494</v>
      </c>
      <c r="H1006" s="42">
        <f t="shared" ca="1" si="82"/>
        <v>852.46321666305494</v>
      </c>
      <c r="I1006" s="42">
        <f t="shared" ca="1" si="83"/>
        <v>0</v>
      </c>
    </row>
    <row r="1007" spans="5:9" x14ac:dyDescent="0.25">
      <c r="E1007">
        <f t="shared" si="84"/>
        <v>997</v>
      </c>
      <c r="F1007" s="39">
        <f t="shared" ca="1" si="80"/>
        <v>108.06171605409817</v>
      </c>
      <c r="G1007" s="42">
        <f t="shared" ca="1" si="81"/>
        <v>3162.7897655688471</v>
      </c>
      <c r="H1007" s="42">
        <f t="shared" ca="1" si="82"/>
        <v>3134.7897655688471</v>
      </c>
      <c r="I1007" s="42">
        <f t="shared" ca="1" si="83"/>
        <v>0</v>
      </c>
    </row>
    <row r="1008" spans="5:9" x14ac:dyDescent="0.25">
      <c r="E1008">
        <f t="shared" si="84"/>
        <v>998</v>
      </c>
      <c r="F1008" s="39">
        <f t="shared" ca="1" si="80"/>
        <v>61.627310883737259</v>
      </c>
      <c r="G1008" s="42">
        <f t="shared" ca="1" si="81"/>
        <v>1816.1920156283804</v>
      </c>
      <c r="H1008" s="42">
        <f t="shared" ca="1" si="82"/>
        <v>1788.1920156283804</v>
      </c>
      <c r="I1008" s="42">
        <f t="shared" ca="1" si="83"/>
        <v>0</v>
      </c>
    </row>
    <row r="1009" spans="5:9" x14ac:dyDescent="0.25">
      <c r="E1009">
        <f t="shared" si="84"/>
        <v>999</v>
      </c>
      <c r="F1009" s="39">
        <f t="shared" ca="1" si="80"/>
        <v>-41.2752128678773</v>
      </c>
      <c r="G1009" s="42">
        <f t="shared" ca="1" si="81"/>
        <v>-1167.9811731684417</v>
      </c>
      <c r="H1009" s="42">
        <f t="shared" ca="1" si="82"/>
        <v>-1195.9811731684417</v>
      </c>
      <c r="I1009" s="42">
        <f t="shared" ca="1" si="83"/>
        <v>0</v>
      </c>
    </row>
    <row r="1010" spans="5:9" x14ac:dyDescent="0.25">
      <c r="E1010">
        <f t="shared" si="84"/>
        <v>1000</v>
      </c>
      <c r="F1010" s="39">
        <f ca="1">_xlfn.NORM.INV(RAND(),$E$45,$E$46)</f>
        <v>62.845966957763892</v>
      </c>
      <c r="G1010" s="42">
        <f t="shared" ca="1" si="81"/>
        <v>1851.5330417751529</v>
      </c>
      <c r="H1010" s="42">
        <f t="shared" ca="1" si="82"/>
        <v>1823.5330417751529</v>
      </c>
      <c r="I1010" s="42">
        <f t="shared" ca="1" si="83"/>
        <v>0</v>
      </c>
    </row>
  </sheetData>
  <mergeCells count="2">
    <mergeCell ref="E4:G4"/>
    <mergeCell ref="H10:I10"/>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96F31E9-698B-42B2-839D-28DA464E3BE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Black-Scholes Model</vt:lpstr>
      <vt:lpstr>Binomial Pricing Model</vt:lpstr>
      <vt:lpstr>Monte Carlo Simulation</vt:lpstr>
      <vt:lpstr>∂</vt:lpstr>
      <vt:lpstr>d1_</vt:lpstr>
      <vt:lpstr>d2_</vt:lpstr>
      <vt:lpstr>K</vt:lpstr>
      <vt:lpstr>r_</vt:lpstr>
      <vt:lpstr>S</vt:lpstr>
      <vt:lpstr>T</vt:lpstr>
      <vt:lpstr>σ</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jordan young</dc:creator>
  <cp:keywords/>
  <dc:description/>
  <cp:lastModifiedBy>jordan young</cp:lastModifiedBy>
  <cp:revision/>
  <dcterms:created xsi:type="dcterms:W3CDTF">2025-03-11T01:01:18Z</dcterms:created>
  <dcterms:modified xsi:type="dcterms:W3CDTF">2025-10-23T17:22:49Z</dcterms:modified>
  <cp:category/>
  <cp:contentStatus/>
</cp:coreProperties>
</file>